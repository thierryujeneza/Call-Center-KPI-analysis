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15345" windowHeight="3945" activeTab="3"/>
  </bookViews>
  <sheets>
    <sheet name="RAW DATA" sheetId="1" r:id="rId1"/>
    <sheet name="Cleaned Data " sheetId="2" r:id="rId2"/>
    <sheet name="Analysis" sheetId="3" r:id="rId3"/>
    <sheet name="Sheet1" sheetId="5" r:id="rId4"/>
  </sheets>
  <definedNames>
    <definedName name="_xlnm._FilterDatabase" localSheetId="1" hidden="1">'Cleaned Data '!$A$1:$W$301</definedName>
  </definedNames>
  <calcPr calcId="152511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" i="3" l="1"/>
  <c r="E51" i="3"/>
  <c r="E49" i="3"/>
  <c r="D49" i="3"/>
  <c r="B50" i="3"/>
  <c r="D50" i="3" s="1"/>
  <c r="B51" i="3"/>
  <c r="D51" i="3" s="1"/>
  <c r="B49" i="3"/>
  <c r="B3" i="2"/>
  <c r="B2" i="2"/>
  <c r="B5" i="2"/>
  <c r="B4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L162" i="2" l="1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X301" i="2" s="1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2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8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B14" i="3" s="1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B11" i="3"/>
  <c r="D11" i="3"/>
  <c r="D12" i="3"/>
  <c r="D13" i="3"/>
  <c r="D14" i="3"/>
  <c r="D15" i="3"/>
  <c r="D16" i="3"/>
  <c r="D17" i="3"/>
  <c r="D10" i="3"/>
  <c r="B3" i="3"/>
  <c r="D4" i="3"/>
  <c r="D5" i="3"/>
  <c r="D3" i="3"/>
  <c r="C4" i="3"/>
  <c r="C5" i="3"/>
  <c r="C3" i="3"/>
  <c r="B4" i="3"/>
  <c r="B5" i="3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2" i="2"/>
  <c r="S3" i="2"/>
  <c r="T3" i="2" s="1"/>
  <c r="S4" i="2"/>
  <c r="T4" i="2" s="1"/>
  <c r="S5" i="2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T31" i="2" s="1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0" i="2"/>
  <c r="T50" i="2" s="1"/>
  <c r="S51" i="2"/>
  <c r="T51" i="2" s="1"/>
  <c r="S52" i="2"/>
  <c r="T52" i="2" s="1"/>
  <c r="S53" i="2"/>
  <c r="T53" i="2" s="1"/>
  <c r="S54" i="2"/>
  <c r="T54" i="2" s="1"/>
  <c r="S55" i="2"/>
  <c r="T55" i="2" s="1"/>
  <c r="S56" i="2"/>
  <c r="T56" i="2" s="1"/>
  <c r="S57" i="2"/>
  <c r="T57" i="2" s="1"/>
  <c r="S58" i="2"/>
  <c r="T58" i="2" s="1"/>
  <c r="S59" i="2"/>
  <c r="T59" i="2" s="1"/>
  <c r="S60" i="2"/>
  <c r="T60" i="2" s="1"/>
  <c r="S61" i="2"/>
  <c r="T61" i="2" s="1"/>
  <c r="S62" i="2"/>
  <c r="T62" i="2" s="1"/>
  <c r="S63" i="2"/>
  <c r="T63" i="2" s="1"/>
  <c r="S64" i="2"/>
  <c r="T64" i="2" s="1"/>
  <c r="S65" i="2"/>
  <c r="T65" i="2" s="1"/>
  <c r="S66" i="2"/>
  <c r="T66" i="2" s="1"/>
  <c r="S67" i="2"/>
  <c r="T67" i="2" s="1"/>
  <c r="S68" i="2"/>
  <c r="T68" i="2" s="1"/>
  <c r="S69" i="2"/>
  <c r="T69" i="2" s="1"/>
  <c r="S70" i="2"/>
  <c r="T70" i="2" s="1"/>
  <c r="S71" i="2"/>
  <c r="T71" i="2" s="1"/>
  <c r="S72" i="2"/>
  <c r="T72" i="2" s="1"/>
  <c r="S73" i="2"/>
  <c r="T73" i="2" s="1"/>
  <c r="S74" i="2"/>
  <c r="T74" i="2" s="1"/>
  <c r="S75" i="2"/>
  <c r="T75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S82" i="2"/>
  <c r="T82" i="2" s="1"/>
  <c r="S83" i="2"/>
  <c r="T83" i="2" s="1"/>
  <c r="S84" i="2"/>
  <c r="T84" i="2" s="1"/>
  <c r="S85" i="2"/>
  <c r="T85" i="2" s="1"/>
  <c r="S86" i="2"/>
  <c r="T86" i="2" s="1"/>
  <c r="S87" i="2"/>
  <c r="T87" i="2" s="1"/>
  <c r="S88" i="2"/>
  <c r="T88" i="2" s="1"/>
  <c r="S89" i="2"/>
  <c r="T89" i="2" s="1"/>
  <c r="S90" i="2"/>
  <c r="T90" i="2" s="1"/>
  <c r="S91" i="2"/>
  <c r="T91" i="2" s="1"/>
  <c r="S92" i="2"/>
  <c r="T92" i="2" s="1"/>
  <c r="S93" i="2"/>
  <c r="T93" i="2" s="1"/>
  <c r="S94" i="2"/>
  <c r="T94" i="2" s="1"/>
  <c r="S95" i="2"/>
  <c r="T95" i="2" s="1"/>
  <c r="S96" i="2"/>
  <c r="T96" i="2" s="1"/>
  <c r="S97" i="2"/>
  <c r="T97" i="2" s="1"/>
  <c r="S98" i="2"/>
  <c r="T98" i="2" s="1"/>
  <c r="S99" i="2"/>
  <c r="T99" i="2" s="1"/>
  <c r="S100" i="2"/>
  <c r="T100" i="2" s="1"/>
  <c r="S101" i="2"/>
  <c r="T101" i="2" s="1"/>
  <c r="S102" i="2"/>
  <c r="T102" i="2" s="1"/>
  <c r="S103" i="2"/>
  <c r="T103" i="2" s="1"/>
  <c r="S104" i="2"/>
  <c r="T104" i="2" s="1"/>
  <c r="S105" i="2"/>
  <c r="T105" i="2" s="1"/>
  <c r="S106" i="2"/>
  <c r="T106" i="2" s="1"/>
  <c r="S107" i="2"/>
  <c r="T107" i="2" s="1"/>
  <c r="S108" i="2"/>
  <c r="T108" i="2" s="1"/>
  <c r="S109" i="2"/>
  <c r="T109" i="2" s="1"/>
  <c r="S110" i="2"/>
  <c r="T110" i="2" s="1"/>
  <c r="S111" i="2"/>
  <c r="T111" i="2" s="1"/>
  <c r="S112" i="2"/>
  <c r="T112" i="2" s="1"/>
  <c r="S113" i="2"/>
  <c r="T113" i="2" s="1"/>
  <c r="S114" i="2"/>
  <c r="T114" i="2" s="1"/>
  <c r="S115" i="2"/>
  <c r="T115" i="2" s="1"/>
  <c r="S116" i="2"/>
  <c r="T116" i="2" s="1"/>
  <c r="S117" i="2"/>
  <c r="T117" i="2" s="1"/>
  <c r="S118" i="2"/>
  <c r="T118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6" i="2"/>
  <c r="T126" i="2" s="1"/>
  <c r="S127" i="2"/>
  <c r="T127" i="2" s="1"/>
  <c r="S128" i="2"/>
  <c r="T128" i="2" s="1"/>
  <c r="S129" i="2"/>
  <c r="T129" i="2" s="1"/>
  <c r="S130" i="2"/>
  <c r="T130" i="2" s="1"/>
  <c r="S131" i="2"/>
  <c r="T131" i="2" s="1"/>
  <c r="S132" i="2"/>
  <c r="T132" i="2" s="1"/>
  <c r="S133" i="2"/>
  <c r="T133" i="2" s="1"/>
  <c r="S134" i="2"/>
  <c r="T134" i="2" s="1"/>
  <c r="S135" i="2"/>
  <c r="T135" i="2" s="1"/>
  <c r="S136" i="2"/>
  <c r="T136" i="2" s="1"/>
  <c r="S137" i="2"/>
  <c r="T137" i="2" s="1"/>
  <c r="S138" i="2"/>
  <c r="T138" i="2" s="1"/>
  <c r="S139" i="2"/>
  <c r="T139" i="2" s="1"/>
  <c r="S140" i="2"/>
  <c r="T140" i="2" s="1"/>
  <c r="S141" i="2"/>
  <c r="T141" i="2" s="1"/>
  <c r="S142" i="2"/>
  <c r="T142" i="2" s="1"/>
  <c r="S143" i="2"/>
  <c r="T143" i="2" s="1"/>
  <c r="S144" i="2"/>
  <c r="T144" i="2" s="1"/>
  <c r="S145" i="2"/>
  <c r="T145" i="2" s="1"/>
  <c r="S146" i="2"/>
  <c r="T146" i="2" s="1"/>
  <c r="S147" i="2"/>
  <c r="T147" i="2" s="1"/>
  <c r="S148" i="2"/>
  <c r="T148" i="2" s="1"/>
  <c r="S149" i="2"/>
  <c r="T149" i="2" s="1"/>
  <c r="S150" i="2"/>
  <c r="T150" i="2" s="1"/>
  <c r="S151" i="2"/>
  <c r="T151" i="2" s="1"/>
  <c r="S152" i="2"/>
  <c r="T152" i="2" s="1"/>
  <c r="S153" i="2"/>
  <c r="T153" i="2" s="1"/>
  <c r="S154" i="2"/>
  <c r="T154" i="2" s="1"/>
  <c r="S155" i="2"/>
  <c r="T155" i="2" s="1"/>
  <c r="S156" i="2"/>
  <c r="T156" i="2" s="1"/>
  <c r="S157" i="2"/>
  <c r="T157" i="2" s="1"/>
  <c r="S158" i="2"/>
  <c r="T158" i="2" s="1"/>
  <c r="S159" i="2"/>
  <c r="T159" i="2" s="1"/>
  <c r="S160" i="2"/>
  <c r="T160" i="2" s="1"/>
  <c r="S161" i="2"/>
  <c r="T161" i="2" s="1"/>
  <c r="S162" i="2"/>
  <c r="T162" i="2" s="1"/>
  <c r="S163" i="2"/>
  <c r="T163" i="2" s="1"/>
  <c r="S164" i="2"/>
  <c r="T164" i="2" s="1"/>
  <c r="S165" i="2"/>
  <c r="T165" i="2" s="1"/>
  <c r="S166" i="2"/>
  <c r="T166" i="2" s="1"/>
  <c r="S167" i="2"/>
  <c r="T167" i="2" s="1"/>
  <c r="S168" i="2"/>
  <c r="T168" i="2" s="1"/>
  <c r="S169" i="2"/>
  <c r="T169" i="2" s="1"/>
  <c r="S170" i="2"/>
  <c r="T170" i="2" s="1"/>
  <c r="S171" i="2"/>
  <c r="T171" i="2" s="1"/>
  <c r="S172" i="2"/>
  <c r="T172" i="2" s="1"/>
  <c r="S173" i="2"/>
  <c r="T173" i="2" s="1"/>
  <c r="S174" i="2"/>
  <c r="T174" i="2" s="1"/>
  <c r="S175" i="2"/>
  <c r="T175" i="2" s="1"/>
  <c r="S176" i="2"/>
  <c r="T176" i="2" s="1"/>
  <c r="S177" i="2"/>
  <c r="T177" i="2" s="1"/>
  <c r="S178" i="2"/>
  <c r="T178" i="2" s="1"/>
  <c r="S179" i="2"/>
  <c r="T179" i="2" s="1"/>
  <c r="S180" i="2"/>
  <c r="T180" i="2" s="1"/>
  <c r="S181" i="2"/>
  <c r="T181" i="2" s="1"/>
  <c r="S182" i="2"/>
  <c r="T182" i="2" s="1"/>
  <c r="S183" i="2"/>
  <c r="T183" i="2" s="1"/>
  <c r="S184" i="2"/>
  <c r="T184" i="2" s="1"/>
  <c r="S185" i="2"/>
  <c r="T185" i="2" s="1"/>
  <c r="S186" i="2"/>
  <c r="T186" i="2" s="1"/>
  <c r="S187" i="2"/>
  <c r="T187" i="2" s="1"/>
  <c r="S188" i="2"/>
  <c r="T188" i="2" s="1"/>
  <c r="S189" i="2"/>
  <c r="T189" i="2" s="1"/>
  <c r="S190" i="2"/>
  <c r="T190" i="2" s="1"/>
  <c r="S191" i="2"/>
  <c r="T191" i="2" s="1"/>
  <c r="S192" i="2"/>
  <c r="T192" i="2" s="1"/>
  <c r="S193" i="2"/>
  <c r="T193" i="2" s="1"/>
  <c r="S194" i="2"/>
  <c r="T194" i="2" s="1"/>
  <c r="S195" i="2"/>
  <c r="T195" i="2" s="1"/>
  <c r="S196" i="2"/>
  <c r="T196" i="2" s="1"/>
  <c r="S197" i="2"/>
  <c r="T197" i="2" s="1"/>
  <c r="S198" i="2"/>
  <c r="T198" i="2" s="1"/>
  <c r="S199" i="2"/>
  <c r="T199" i="2" s="1"/>
  <c r="S200" i="2"/>
  <c r="T200" i="2" s="1"/>
  <c r="S201" i="2"/>
  <c r="T201" i="2" s="1"/>
  <c r="S202" i="2"/>
  <c r="T202" i="2" s="1"/>
  <c r="S203" i="2"/>
  <c r="T203" i="2" s="1"/>
  <c r="S204" i="2"/>
  <c r="T204" i="2" s="1"/>
  <c r="S205" i="2"/>
  <c r="T205" i="2" s="1"/>
  <c r="S206" i="2"/>
  <c r="T206" i="2" s="1"/>
  <c r="S207" i="2"/>
  <c r="T207" i="2" s="1"/>
  <c r="S208" i="2"/>
  <c r="T208" i="2" s="1"/>
  <c r="S209" i="2"/>
  <c r="T209" i="2" s="1"/>
  <c r="S210" i="2"/>
  <c r="T210" i="2" s="1"/>
  <c r="S211" i="2"/>
  <c r="T211" i="2" s="1"/>
  <c r="S212" i="2"/>
  <c r="T212" i="2" s="1"/>
  <c r="S213" i="2"/>
  <c r="T213" i="2" s="1"/>
  <c r="S214" i="2"/>
  <c r="T214" i="2" s="1"/>
  <c r="S215" i="2"/>
  <c r="T215" i="2" s="1"/>
  <c r="S216" i="2"/>
  <c r="T216" i="2" s="1"/>
  <c r="S217" i="2"/>
  <c r="T217" i="2" s="1"/>
  <c r="S218" i="2"/>
  <c r="T218" i="2" s="1"/>
  <c r="S219" i="2"/>
  <c r="T219" i="2" s="1"/>
  <c r="S220" i="2"/>
  <c r="T220" i="2" s="1"/>
  <c r="S221" i="2"/>
  <c r="T221" i="2" s="1"/>
  <c r="S222" i="2"/>
  <c r="T222" i="2" s="1"/>
  <c r="S223" i="2"/>
  <c r="T223" i="2" s="1"/>
  <c r="S224" i="2"/>
  <c r="T224" i="2" s="1"/>
  <c r="S225" i="2"/>
  <c r="T225" i="2" s="1"/>
  <c r="S226" i="2"/>
  <c r="T226" i="2" s="1"/>
  <c r="S227" i="2"/>
  <c r="T227" i="2" s="1"/>
  <c r="S228" i="2"/>
  <c r="T228" i="2" s="1"/>
  <c r="S229" i="2"/>
  <c r="T229" i="2" s="1"/>
  <c r="S230" i="2"/>
  <c r="T230" i="2" s="1"/>
  <c r="S231" i="2"/>
  <c r="T231" i="2" s="1"/>
  <c r="S232" i="2"/>
  <c r="T232" i="2" s="1"/>
  <c r="S233" i="2"/>
  <c r="T233" i="2" s="1"/>
  <c r="S234" i="2"/>
  <c r="T234" i="2" s="1"/>
  <c r="S235" i="2"/>
  <c r="T235" i="2" s="1"/>
  <c r="S236" i="2"/>
  <c r="T236" i="2" s="1"/>
  <c r="S237" i="2"/>
  <c r="T237" i="2" s="1"/>
  <c r="S238" i="2"/>
  <c r="T238" i="2" s="1"/>
  <c r="S239" i="2"/>
  <c r="T239" i="2" s="1"/>
  <c r="S240" i="2"/>
  <c r="T240" i="2" s="1"/>
  <c r="S241" i="2"/>
  <c r="T241" i="2" s="1"/>
  <c r="S242" i="2"/>
  <c r="T242" i="2" s="1"/>
  <c r="S243" i="2"/>
  <c r="T243" i="2" s="1"/>
  <c r="S244" i="2"/>
  <c r="T244" i="2" s="1"/>
  <c r="S245" i="2"/>
  <c r="T245" i="2" s="1"/>
  <c r="S246" i="2"/>
  <c r="T246" i="2" s="1"/>
  <c r="S247" i="2"/>
  <c r="T247" i="2" s="1"/>
  <c r="S248" i="2"/>
  <c r="T248" i="2" s="1"/>
  <c r="S249" i="2"/>
  <c r="T249" i="2" s="1"/>
  <c r="S250" i="2"/>
  <c r="T250" i="2" s="1"/>
  <c r="S251" i="2"/>
  <c r="T251" i="2" s="1"/>
  <c r="S252" i="2"/>
  <c r="T252" i="2" s="1"/>
  <c r="S253" i="2"/>
  <c r="T253" i="2" s="1"/>
  <c r="S254" i="2"/>
  <c r="T254" i="2" s="1"/>
  <c r="S255" i="2"/>
  <c r="T255" i="2" s="1"/>
  <c r="S256" i="2"/>
  <c r="T256" i="2" s="1"/>
  <c r="S257" i="2"/>
  <c r="T257" i="2" s="1"/>
  <c r="S258" i="2"/>
  <c r="T258" i="2" s="1"/>
  <c r="S259" i="2"/>
  <c r="T259" i="2" s="1"/>
  <c r="S260" i="2"/>
  <c r="T260" i="2" s="1"/>
  <c r="S261" i="2"/>
  <c r="T261" i="2" s="1"/>
  <c r="S262" i="2"/>
  <c r="T262" i="2" s="1"/>
  <c r="S263" i="2"/>
  <c r="T263" i="2" s="1"/>
  <c r="S264" i="2"/>
  <c r="T264" i="2" s="1"/>
  <c r="S265" i="2"/>
  <c r="T265" i="2" s="1"/>
  <c r="S266" i="2"/>
  <c r="T266" i="2" s="1"/>
  <c r="S267" i="2"/>
  <c r="T267" i="2" s="1"/>
  <c r="S268" i="2"/>
  <c r="T268" i="2" s="1"/>
  <c r="S269" i="2"/>
  <c r="T269" i="2" s="1"/>
  <c r="S270" i="2"/>
  <c r="T270" i="2" s="1"/>
  <c r="S271" i="2"/>
  <c r="T271" i="2" s="1"/>
  <c r="S272" i="2"/>
  <c r="T272" i="2" s="1"/>
  <c r="S273" i="2"/>
  <c r="T273" i="2" s="1"/>
  <c r="S274" i="2"/>
  <c r="T274" i="2" s="1"/>
  <c r="S275" i="2"/>
  <c r="T275" i="2" s="1"/>
  <c r="S276" i="2"/>
  <c r="T276" i="2" s="1"/>
  <c r="S277" i="2"/>
  <c r="T277" i="2" s="1"/>
  <c r="S278" i="2"/>
  <c r="T278" i="2" s="1"/>
  <c r="S279" i="2"/>
  <c r="T279" i="2" s="1"/>
  <c r="S280" i="2"/>
  <c r="T280" i="2" s="1"/>
  <c r="S281" i="2"/>
  <c r="T281" i="2" s="1"/>
  <c r="S282" i="2"/>
  <c r="T282" i="2" s="1"/>
  <c r="S283" i="2"/>
  <c r="T283" i="2" s="1"/>
  <c r="S284" i="2"/>
  <c r="T284" i="2" s="1"/>
  <c r="S285" i="2"/>
  <c r="T285" i="2" s="1"/>
  <c r="S286" i="2"/>
  <c r="T286" i="2" s="1"/>
  <c r="S287" i="2"/>
  <c r="T287" i="2" s="1"/>
  <c r="S288" i="2"/>
  <c r="T288" i="2" s="1"/>
  <c r="S289" i="2"/>
  <c r="T289" i="2" s="1"/>
  <c r="S290" i="2"/>
  <c r="T290" i="2" s="1"/>
  <c r="S291" i="2"/>
  <c r="T291" i="2" s="1"/>
  <c r="S292" i="2"/>
  <c r="T292" i="2" s="1"/>
  <c r="S293" i="2"/>
  <c r="T293" i="2" s="1"/>
  <c r="S294" i="2"/>
  <c r="T294" i="2" s="1"/>
  <c r="S295" i="2"/>
  <c r="T295" i="2" s="1"/>
  <c r="S296" i="2"/>
  <c r="T296" i="2" s="1"/>
  <c r="S297" i="2"/>
  <c r="T297" i="2" s="1"/>
  <c r="S298" i="2"/>
  <c r="T298" i="2" s="1"/>
  <c r="S299" i="2"/>
  <c r="T299" i="2" s="1"/>
  <c r="S300" i="2"/>
  <c r="T300" i="2" s="1"/>
  <c r="S301" i="2"/>
  <c r="T301" i="2" s="1"/>
  <c r="S2" i="2"/>
  <c r="T2" i="2" s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2" i="2"/>
  <c r="G28" i="3" l="1"/>
  <c r="G31" i="3"/>
  <c r="G27" i="3"/>
  <c r="G23" i="3"/>
  <c r="G32" i="3"/>
  <c r="G30" i="3"/>
  <c r="G26" i="3"/>
  <c r="G22" i="3"/>
  <c r="G24" i="3"/>
  <c r="C22" i="3"/>
  <c r="G29" i="3"/>
  <c r="G25" i="3"/>
  <c r="B13" i="3"/>
  <c r="B17" i="3"/>
  <c r="B21" i="3"/>
  <c r="B29" i="3"/>
  <c r="B25" i="3"/>
  <c r="C21" i="3"/>
  <c r="D21" i="3" s="1"/>
  <c r="C29" i="3"/>
  <c r="C25" i="3"/>
  <c r="D25" i="3" s="1"/>
  <c r="E29" i="3"/>
  <c r="E25" i="3"/>
  <c r="G21" i="3"/>
  <c r="B32" i="3"/>
  <c r="B28" i="3"/>
  <c r="B24" i="3"/>
  <c r="C32" i="3"/>
  <c r="C28" i="3"/>
  <c r="D28" i="3" s="1"/>
  <c r="C24" i="3"/>
  <c r="E32" i="3"/>
  <c r="E28" i="3"/>
  <c r="E24" i="3"/>
  <c r="C51" i="3"/>
  <c r="C49" i="3"/>
  <c r="B31" i="3"/>
  <c r="B27" i="3"/>
  <c r="B23" i="3"/>
  <c r="C31" i="3"/>
  <c r="D31" i="3" s="1"/>
  <c r="C27" i="3"/>
  <c r="C23" i="3"/>
  <c r="D23" i="3" s="1"/>
  <c r="E31" i="3"/>
  <c r="E27" i="3"/>
  <c r="E23" i="3"/>
  <c r="B30" i="3"/>
  <c r="B26" i="3"/>
  <c r="B22" i="3"/>
  <c r="D22" i="3" s="1"/>
  <c r="C30" i="3"/>
  <c r="C26" i="3"/>
  <c r="E30" i="3"/>
  <c r="E26" i="3"/>
  <c r="E22" i="3"/>
  <c r="B15" i="3"/>
  <c r="B12" i="3"/>
  <c r="B16" i="3"/>
  <c r="E5" i="3"/>
  <c r="E4" i="3"/>
  <c r="E3" i="3"/>
  <c r="X42" i="2"/>
  <c r="X5" i="2"/>
  <c r="X6" i="2"/>
  <c r="X10" i="2"/>
  <c r="X14" i="2"/>
  <c r="X17" i="2"/>
  <c r="X18" i="2"/>
  <c r="X22" i="2"/>
  <c r="X25" i="2"/>
  <c r="X26" i="2"/>
  <c r="X29" i="2"/>
  <c r="X30" i="2"/>
  <c r="X34" i="2"/>
  <c r="X37" i="2"/>
  <c r="X38" i="2"/>
  <c r="X40" i="2"/>
  <c r="X41" i="2"/>
  <c r="L2" i="2"/>
  <c r="B10" i="3" s="1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F24" i="3" s="1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2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39" i="2"/>
  <c r="X36" i="2"/>
  <c r="X35" i="2"/>
  <c r="X33" i="2"/>
  <c r="X32" i="2"/>
  <c r="X31" i="2"/>
  <c r="X28" i="2"/>
  <c r="X27" i="2"/>
  <c r="X24" i="2"/>
  <c r="X23" i="2"/>
  <c r="X21" i="2"/>
  <c r="X20" i="2"/>
  <c r="X19" i="2"/>
  <c r="X16" i="2"/>
  <c r="X15" i="2"/>
  <c r="X13" i="2"/>
  <c r="X12" i="2"/>
  <c r="X11" i="2"/>
  <c r="X9" i="2"/>
  <c r="X8" i="2"/>
  <c r="X7" i="2"/>
  <c r="X4" i="2"/>
  <c r="X3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  <c r="F32" i="3" l="1"/>
  <c r="F28" i="3"/>
  <c r="F23" i="3"/>
  <c r="D32" i="3"/>
  <c r="D29" i="3"/>
  <c r="F26" i="3"/>
  <c r="F25" i="3"/>
  <c r="F22" i="3"/>
  <c r="F30" i="3"/>
  <c r="F29" i="3"/>
  <c r="C17" i="3"/>
  <c r="C15" i="3"/>
  <c r="C11" i="3"/>
  <c r="D26" i="3"/>
  <c r="D27" i="3"/>
  <c r="D30" i="3"/>
  <c r="D24" i="3"/>
  <c r="E21" i="3"/>
  <c r="F40" i="3"/>
  <c r="F44" i="3"/>
  <c r="E39" i="3"/>
  <c r="E36" i="3"/>
  <c r="F37" i="3"/>
  <c r="F41" i="3"/>
  <c r="F45" i="3"/>
  <c r="E40" i="3"/>
  <c r="E44" i="3"/>
  <c r="C37" i="3"/>
  <c r="C41" i="3"/>
  <c r="C45" i="3"/>
  <c r="C36" i="3"/>
  <c r="F43" i="3"/>
  <c r="E42" i="3"/>
  <c r="F36" i="3"/>
  <c r="E43" i="3"/>
  <c r="C44" i="3"/>
  <c r="F38" i="3"/>
  <c r="F42" i="3"/>
  <c r="E37" i="3"/>
  <c r="E41" i="3"/>
  <c r="E45" i="3"/>
  <c r="C38" i="3"/>
  <c r="C42" i="3"/>
  <c r="F39" i="3"/>
  <c r="E38" i="3"/>
  <c r="C39" i="3"/>
  <c r="C43" i="3"/>
  <c r="C40" i="3"/>
  <c r="F50" i="3"/>
  <c r="C10" i="3"/>
  <c r="F51" i="3"/>
  <c r="C13" i="3"/>
  <c r="F49" i="3"/>
  <c r="C16" i="3"/>
  <c r="X2" i="2"/>
  <c r="C50" i="3"/>
  <c r="F27" i="3"/>
  <c r="F21" i="3"/>
  <c r="C12" i="3"/>
  <c r="C14" i="3"/>
  <c r="F31" i="3"/>
  <c r="D39" i="3" l="1"/>
  <c r="G39" i="3"/>
  <c r="D38" i="3"/>
  <c r="G38" i="3"/>
  <c r="D45" i="3"/>
  <c r="G45" i="3"/>
  <c r="G41" i="3"/>
  <c r="D41" i="3"/>
  <c r="G37" i="3"/>
  <c r="D37" i="3"/>
  <c r="G40" i="3"/>
  <c r="D40" i="3"/>
  <c r="D44" i="3"/>
  <c r="G44" i="3"/>
  <c r="D43" i="3"/>
  <c r="G43" i="3"/>
  <c r="D42" i="3"/>
  <c r="G42" i="3"/>
  <c r="G36" i="3"/>
  <c r="D36" i="3"/>
</calcChain>
</file>

<file path=xl/sharedStrings.xml><?xml version="1.0" encoding="utf-8"?>
<sst xmlns="http://schemas.openxmlformats.org/spreadsheetml/2006/main" count="7633" uniqueCount="621">
  <si>
    <t>Case_ID</t>
  </si>
  <si>
    <t>Date</t>
  </si>
  <si>
    <t>Agent_ID</t>
  </si>
  <si>
    <t>Agent_Name</t>
  </si>
  <si>
    <t>Team</t>
  </si>
  <si>
    <t>Channel_Type</t>
  </si>
  <si>
    <t>Contact_Type</t>
  </si>
  <si>
    <t>Issue_Category</t>
  </si>
  <si>
    <t>Handle_Time_Min</t>
  </si>
  <si>
    <t>Wait_Time_Min</t>
  </si>
  <si>
    <t>FCR_Flag</t>
  </si>
  <si>
    <t>CSAT_Score</t>
  </si>
  <si>
    <t>Sentiment</t>
  </si>
  <si>
    <t>Escalated</t>
  </si>
  <si>
    <t>Transfers</t>
  </si>
  <si>
    <t>Case_Outcome</t>
  </si>
  <si>
    <t>Notes</t>
  </si>
  <si>
    <t>CC-10001</t>
  </si>
  <si>
    <t>AG002</t>
  </si>
  <si>
    <t>BOB NSHIMIYIMANA</t>
  </si>
  <si>
    <t>Inbound</t>
  </si>
  <si>
    <t>Team Alpha</t>
  </si>
  <si>
    <t>Chat</t>
  </si>
  <si>
    <t>Billing</t>
  </si>
  <si>
    <t>Yes</t>
  </si>
  <si>
    <t>Positive</t>
  </si>
  <si>
    <t>No</t>
  </si>
  <si>
    <t>Abandoned</t>
  </si>
  <si>
    <t>Case handled by AG002</t>
  </si>
  <si>
    <t>CC-10002</t>
  </si>
  <si>
    <t>2024-02-17</t>
  </si>
  <si>
    <t>AG004</t>
  </si>
  <si>
    <t>David Habimana</t>
  </si>
  <si>
    <t>Outbound</t>
  </si>
  <si>
    <t>Team Beta</t>
  </si>
  <si>
    <t>Returns</t>
  </si>
  <si>
    <t>Case handled by AG004</t>
  </si>
  <si>
    <t>CC-10003</t>
  </si>
  <si>
    <t>2024-03-22</t>
  </si>
  <si>
    <t>AG007</t>
  </si>
  <si>
    <t>Grace Uwase</t>
  </si>
  <si>
    <t>Email</t>
  </si>
  <si>
    <t>Team Gamma</t>
  </si>
  <si>
    <t>Phone</t>
  </si>
  <si>
    <t>Payment</t>
  </si>
  <si>
    <t>Resolved</t>
  </si>
  <si>
    <t>Case handled by AG007</t>
  </si>
  <si>
    <t>CC-10004</t>
  </si>
  <si>
    <t>2024-07-02</t>
  </si>
  <si>
    <t>AG006</t>
  </si>
  <si>
    <t>Frank Nzeyimana</t>
  </si>
  <si>
    <t>Very Negative</t>
  </si>
  <si>
    <t>Transferred</t>
  </si>
  <si>
    <t>Case handled by AG006</t>
  </si>
  <si>
    <t>CC-10005</t>
  </si>
  <si>
    <t>2024-07-04</t>
  </si>
  <si>
    <t>AG010</t>
  </si>
  <si>
    <t>John Gasana</t>
  </si>
  <si>
    <t>Technical</t>
  </si>
  <si>
    <t>Very Positive</t>
  </si>
  <si>
    <t>Case handled by AG010</t>
  </si>
  <si>
    <t>CC-10006</t>
  </si>
  <si>
    <t>2024-05-22</t>
  </si>
  <si>
    <t>AG008</t>
  </si>
  <si>
    <t>Henry Bizimana</t>
  </si>
  <si>
    <t>Account</t>
  </si>
  <si>
    <t>Callback</t>
  </si>
  <si>
    <t>Case handled by AG008</t>
  </si>
  <si>
    <t>CC-10007</t>
  </si>
  <si>
    <t>2024-05-05</t>
  </si>
  <si>
    <t>AG003</t>
  </si>
  <si>
    <t>Claire Mukamana</t>
  </si>
  <si>
    <t>Shipping</t>
  </si>
  <si>
    <t>Case handled by AG003</t>
  </si>
  <si>
    <t>CC-10008</t>
  </si>
  <si>
    <t>2024-06-10</t>
  </si>
  <si>
    <t>CC-10009</t>
  </si>
  <si>
    <t>2024-03-14</t>
  </si>
  <si>
    <t>AG005</t>
  </si>
  <si>
    <t>Eve Ingabire</t>
  </si>
  <si>
    <t>General Inquiry</t>
  </si>
  <si>
    <t>Neutral</t>
  </si>
  <si>
    <t>Case handled by AG005</t>
  </si>
  <si>
    <t>CC-10010</t>
  </si>
  <si>
    <t>2024-03-11</t>
  </si>
  <si>
    <t>AG009</t>
  </si>
  <si>
    <t>Irene Mutesi</t>
  </si>
  <si>
    <t>Case handled by AG009</t>
  </si>
  <si>
    <t>CC-10011</t>
  </si>
  <si>
    <t>2024-07-14</t>
  </si>
  <si>
    <t>Negative</t>
  </si>
  <si>
    <t>CC-10012</t>
  </si>
  <si>
    <t>2024-02-27</t>
  </si>
  <si>
    <t>CC-10013</t>
  </si>
  <si>
    <t>2024-11-23</t>
  </si>
  <si>
    <t>Password Reset</t>
  </si>
  <si>
    <t>CC-10014</t>
  </si>
  <si>
    <t>CC-10015</t>
  </si>
  <si>
    <t>2024-02-05</t>
  </si>
  <si>
    <t>CC-10016</t>
  </si>
  <si>
    <t>2024-10-03</t>
  </si>
  <si>
    <t>CC-10017</t>
  </si>
  <si>
    <t>2024-05-06</t>
  </si>
  <si>
    <t>CC-10018</t>
  </si>
  <si>
    <t>2024-02-04</t>
  </si>
  <si>
    <t>AG001</t>
  </si>
  <si>
    <t>Alice Uwimana</t>
  </si>
  <si>
    <t>Case handled by AG001</t>
  </si>
  <si>
    <t>CC-10019</t>
  </si>
  <si>
    <t>2024-08-30</t>
  </si>
  <si>
    <t>CC-10020</t>
  </si>
  <si>
    <t>2024-02-01</t>
  </si>
  <si>
    <t>CC-10021</t>
  </si>
  <si>
    <t>2024-08-24</t>
  </si>
  <si>
    <t>CC-10022</t>
  </si>
  <si>
    <t>2024-05-01</t>
  </si>
  <si>
    <t>CC-10023</t>
  </si>
  <si>
    <t>2024-05-15</t>
  </si>
  <si>
    <t>CC-10024</t>
  </si>
  <si>
    <t>2024-01-30</t>
  </si>
  <si>
    <t>CC-10025</t>
  </si>
  <si>
    <t>2024-09-17</t>
  </si>
  <si>
    <t>Bob Nshimiyimana</t>
  </si>
  <si>
    <t>CC-10026</t>
  </si>
  <si>
    <t>2024-10-31</t>
  </si>
  <si>
    <t>ALICE UWIMANA</t>
  </si>
  <si>
    <t>CC-10027</t>
  </si>
  <si>
    <t>CC-10028</t>
  </si>
  <si>
    <t>2024-10-02</t>
  </si>
  <si>
    <t>CC-10029</t>
  </si>
  <si>
    <t>2024-08-12</t>
  </si>
  <si>
    <t>CC-10030</t>
  </si>
  <si>
    <t>CC-10031</t>
  </si>
  <si>
    <t>2024-01-27</t>
  </si>
  <si>
    <t>CC-10032</t>
  </si>
  <si>
    <t>2024-12-27</t>
  </si>
  <si>
    <t>CC-10033</t>
  </si>
  <si>
    <t>2024-10-09</t>
  </si>
  <si>
    <t>CC-10034</t>
  </si>
  <si>
    <t>2024-06-30</t>
  </si>
  <si>
    <t>CC-10035</t>
  </si>
  <si>
    <t>2024-01-13</t>
  </si>
  <si>
    <t>CC-10036</t>
  </si>
  <si>
    <t>2024-01-20</t>
  </si>
  <si>
    <t>CC-10037</t>
  </si>
  <si>
    <t>2024-07-23</t>
  </si>
  <si>
    <t>CC-10038</t>
  </si>
  <si>
    <t>2024-02-29</t>
  </si>
  <si>
    <t>CC-10039</t>
  </si>
  <si>
    <t>2024-09-18</t>
  </si>
  <si>
    <t>CC-10040</t>
  </si>
  <si>
    <t>2024-11-15</t>
  </si>
  <si>
    <t>CC-10041</t>
  </si>
  <si>
    <t>2024-10-10</t>
  </si>
  <si>
    <t>CC-10042</t>
  </si>
  <si>
    <t>2024-10-07</t>
  </si>
  <si>
    <t>CC-10043</t>
  </si>
  <si>
    <t>CC-10044</t>
  </si>
  <si>
    <t>2024-04-30</t>
  </si>
  <si>
    <t>CC-10045</t>
  </si>
  <si>
    <t>2024-11-18</t>
  </si>
  <si>
    <t>CC-10046</t>
  </si>
  <si>
    <t>2024-04-22</t>
  </si>
  <si>
    <t>CC-10047</t>
  </si>
  <si>
    <t>2024-12-07</t>
  </si>
  <si>
    <t>CC-10048</t>
  </si>
  <si>
    <t>2024-08-18</t>
  </si>
  <si>
    <t>CC-10049</t>
  </si>
  <si>
    <t>2024-05-19</t>
  </si>
  <si>
    <t>CC-10050</t>
  </si>
  <si>
    <t>2024-07-27</t>
  </si>
  <si>
    <t>CC-10051</t>
  </si>
  <si>
    <t>EVE INGABIRE</t>
  </si>
  <si>
    <t>CC-10052</t>
  </si>
  <si>
    <t>CC-10053</t>
  </si>
  <si>
    <t>2024-09-30</t>
  </si>
  <si>
    <t>CC-10054</t>
  </si>
  <si>
    <t>2024-01-26</t>
  </si>
  <si>
    <t>CC-10055</t>
  </si>
  <si>
    <t>2024-08-28</t>
  </si>
  <si>
    <t>CC-10056</t>
  </si>
  <si>
    <t>2024-04-12</t>
  </si>
  <si>
    <t>CC-10057</t>
  </si>
  <si>
    <t>2024-07-07</t>
  </si>
  <si>
    <t>CC-10058</t>
  </si>
  <si>
    <t>2024-10-21</t>
  </si>
  <si>
    <t>CC-10059</t>
  </si>
  <si>
    <t>2024-01-22</t>
  </si>
  <si>
    <t>CC-10060</t>
  </si>
  <si>
    <t>CC-10061</t>
  </si>
  <si>
    <t>2024-08-11</t>
  </si>
  <si>
    <t>CC-10062</t>
  </si>
  <si>
    <t>2024-10-18</t>
  </si>
  <si>
    <t>CC-10063</t>
  </si>
  <si>
    <t>2024-05-12</t>
  </si>
  <si>
    <t>CC-10064</t>
  </si>
  <si>
    <t>CC-10065</t>
  </si>
  <si>
    <t>2024-04-23</t>
  </si>
  <si>
    <t>CC-10066</t>
  </si>
  <si>
    <t>2024-10-08</t>
  </si>
  <si>
    <t>CC-10067</t>
  </si>
  <si>
    <t>2024-10-01</t>
  </si>
  <si>
    <t>CC-10068</t>
  </si>
  <si>
    <t>2024-06-03</t>
  </si>
  <si>
    <t>CC-10069</t>
  </si>
  <si>
    <t>2024-10-20</t>
  </si>
  <si>
    <t>CC-10070</t>
  </si>
  <si>
    <t>2024-09-08</t>
  </si>
  <si>
    <t>CC-10071</t>
  </si>
  <si>
    <t>2024-11-01</t>
  </si>
  <si>
    <t>CC-10072</t>
  </si>
  <si>
    <t>CC-10073</t>
  </si>
  <si>
    <t>2024-03-29</t>
  </si>
  <si>
    <t>CC-10074</t>
  </si>
  <si>
    <t>CC-10075</t>
  </si>
  <si>
    <t>2024-10-05</t>
  </si>
  <si>
    <t>CC-10076</t>
  </si>
  <si>
    <t>CC-10077</t>
  </si>
  <si>
    <t>2024-02-11</t>
  </si>
  <si>
    <t>CC-10078</t>
  </si>
  <si>
    <t>2024-10-27</t>
  </si>
  <si>
    <t>CC-10079</t>
  </si>
  <si>
    <t>2024-04-02</t>
  </si>
  <si>
    <t>CC-10080</t>
  </si>
  <si>
    <t>2024-12-09</t>
  </si>
  <si>
    <t>CC-10081</t>
  </si>
  <si>
    <t>2024-02-15</t>
  </si>
  <si>
    <t>CC-10082</t>
  </si>
  <si>
    <t>2024-04-06</t>
  </si>
  <si>
    <t>CC-10083</t>
  </si>
  <si>
    <t>CC-10084</t>
  </si>
  <si>
    <t>CC-10085</t>
  </si>
  <si>
    <t>2024-09-04</t>
  </si>
  <si>
    <t>CC-10086</t>
  </si>
  <si>
    <t>2024-09-16</t>
  </si>
  <si>
    <t>CC-10087</t>
  </si>
  <si>
    <t>2024-06-19</t>
  </si>
  <si>
    <t>CC-10088</t>
  </si>
  <si>
    <t>2024-07-29</t>
  </si>
  <si>
    <t>CC-10089</t>
  </si>
  <si>
    <t>2024-03-05</t>
  </si>
  <si>
    <t>CC-10090</t>
  </si>
  <si>
    <t>2024-07-28</t>
  </si>
  <si>
    <t>CC-10091</t>
  </si>
  <si>
    <t>2024-10-04</t>
  </si>
  <si>
    <t>CC-10092</t>
  </si>
  <si>
    <t>2024-11-20</t>
  </si>
  <si>
    <t>CC-10093</t>
  </si>
  <si>
    <t>2024-07-10</t>
  </si>
  <si>
    <t>CC-10094</t>
  </si>
  <si>
    <t>CC-10095</t>
  </si>
  <si>
    <t>CC-10096</t>
  </si>
  <si>
    <t>2024-06-02</t>
  </si>
  <si>
    <t>CC-10097</t>
  </si>
  <si>
    <t>2024-10-19</t>
  </si>
  <si>
    <t>CC-10098</t>
  </si>
  <si>
    <t>2024-09-11</t>
  </si>
  <si>
    <t>CC-10099</t>
  </si>
  <si>
    <t>2024-11-17</t>
  </si>
  <si>
    <t>CC-10100</t>
  </si>
  <si>
    <t>2024-02-16</t>
  </si>
  <si>
    <t>CC-10101</t>
  </si>
  <si>
    <t>CC-10102</t>
  </si>
  <si>
    <t>2024-07-21</t>
  </si>
  <si>
    <t>CC-10103</t>
  </si>
  <si>
    <t>2024-12-11</t>
  </si>
  <si>
    <t>CC-10104</t>
  </si>
  <si>
    <t>2024-12-24</t>
  </si>
  <si>
    <t>CC-10105</t>
  </si>
  <si>
    <t>2024-03-10</t>
  </si>
  <si>
    <t>CC-10106</t>
  </si>
  <si>
    <t>2024-09-07</t>
  </si>
  <si>
    <t>CC-10107</t>
  </si>
  <si>
    <t>2024-12-17</t>
  </si>
  <si>
    <t>CC-10108</t>
  </si>
  <si>
    <t>CC-10109</t>
  </si>
  <si>
    <t>CC-10110</t>
  </si>
  <si>
    <t>2024-05-08</t>
  </si>
  <si>
    <t>CC-10111</t>
  </si>
  <si>
    <t>CC-10112</t>
  </si>
  <si>
    <t>2024-09-14</t>
  </si>
  <si>
    <t>CC-10113</t>
  </si>
  <si>
    <t>2024-07-24</t>
  </si>
  <si>
    <t>CC-10114</t>
  </si>
  <si>
    <t>CC-10115</t>
  </si>
  <si>
    <t>2024-09-15</t>
  </si>
  <si>
    <t>CC-10116</t>
  </si>
  <si>
    <t>2024-06-22</t>
  </si>
  <si>
    <t>CC-10117</t>
  </si>
  <si>
    <t>CC-10118</t>
  </si>
  <si>
    <t>CC-10119</t>
  </si>
  <si>
    <t>2024-10-22</t>
  </si>
  <si>
    <t>CC-10120</t>
  </si>
  <si>
    <t>CC-10121</t>
  </si>
  <si>
    <t>CC-10122</t>
  </si>
  <si>
    <t>2024-09-28</t>
  </si>
  <si>
    <t>CC-10123</t>
  </si>
  <si>
    <t>CC-10124</t>
  </si>
  <si>
    <t>2024-02-28</t>
  </si>
  <si>
    <t>CC-10125</t>
  </si>
  <si>
    <t>CC-10126</t>
  </si>
  <si>
    <t>2024-01-04</t>
  </si>
  <si>
    <t>HENRY BIZIMANA</t>
  </si>
  <si>
    <t>CC-10127</t>
  </si>
  <si>
    <t>2024-07-22</t>
  </si>
  <si>
    <t>CC-10128</t>
  </si>
  <si>
    <t>CC-10129</t>
  </si>
  <si>
    <t>2024-05-04</t>
  </si>
  <si>
    <t>CC-10130</t>
  </si>
  <si>
    <t>2024-02-09</t>
  </si>
  <si>
    <t>CC-10131</t>
  </si>
  <si>
    <t>2024-04-11</t>
  </si>
  <si>
    <t>CC-10132</t>
  </si>
  <si>
    <t>2024-11-25</t>
  </si>
  <si>
    <t>CC-10133</t>
  </si>
  <si>
    <t>2024-05-20</t>
  </si>
  <si>
    <t>CC-10134</t>
  </si>
  <si>
    <t>CC-10135</t>
  </si>
  <si>
    <t>2024-11-05</t>
  </si>
  <si>
    <t>CC-10136</t>
  </si>
  <si>
    <t>CC-10137</t>
  </si>
  <si>
    <t>CC-10138</t>
  </si>
  <si>
    <t>CC-10139</t>
  </si>
  <si>
    <t>2024-10-13</t>
  </si>
  <si>
    <t>CC-10140</t>
  </si>
  <si>
    <t>CC-10141</t>
  </si>
  <si>
    <t>CC-10142</t>
  </si>
  <si>
    <t>2024-07-11</t>
  </si>
  <si>
    <t>CC-10143</t>
  </si>
  <si>
    <t>2024-12-12</t>
  </si>
  <si>
    <t>CC-10144</t>
  </si>
  <si>
    <t>2024-12-13</t>
  </si>
  <si>
    <t>CC-10145</t>
  </si>
  <si>
    <t>CC-10146</t>
  </si>
  <si>
    <t>2024-02-12</t>
  </si>
  <si>
    <t>CC-10147</t>
  </si>
  <si>
    <t>2024-01-28</t>
  </si>
  <si>
    <t>CC-10148</t>
  </si>
  <si>
    <t>2024-11-28</t>
  </si>
  <si>
    <t>CC-10149</t>
  </si>
  <si>
    <t>2024-01-03</t>
  </si>
  <si>
    <t>CC-10150</t>
  </si>
  <si>
    <t>2024-05-02</t>
  </si>
  <si>
    <t>CC-10151</t>
  </si>
  <si>
    <t>DAVID HABIMANA</t>
  </si>
  <si>
    <t>CC-10152</t>
  </si>
  <si>
    <t>2024-09-26</t>
  </si>
  <si>
    <t>CC-10153</t>
  </si>
  <si>
    <t>2024-05-09</t>
  </si>
  <si>
    <t>CC-10154</t>
  </si>
  <si>
    <t>CC-10155</t>
  </si>
  <si>
    <t>2024-01-19</t>
  </si>
  <si>
    <t>CC-10156</t>
  </si>
  <si>
    <t>CC-10157</t>
  </si>
  <si>
    <t>CC-10158</t>
  </si>
  <si>
    <t>2024-08-05</t>
  </si>
  <si>
    <t>CC-10159</t>
  </si>
  <si>
    <t>2024-11-04</t>
  </si>
  <si>
    <t>CC-10160</t>
  </si>
  <si>
    <t>2024-02-08</t>
  </si>
  <si>
    <t>CC-10161</t>
  </si>
  <si>
    <t>CC-10162</t>
  </si>
  <si>
    <t>2024-07-09</t>
  </si>
  <si>
    <t>CC-10163</t>
  </si>
  <si>
    <t>2024-01-14</t>
  </si>
  <si>
    <t>CC-10164</t>
  </si>
  <si>
    <t>2024-05-26</t>
  </si>
  <si>
    <t>CC-10165</t>
  </si>
  <si>
    <t>CC-10166</t>
  </si>
  <si>
    <t>2024-03-12</t>
  </si>
  <si>
    <t>CC-10167</t>
  </si>
  <si>
    <t>2024-02-14</t>
  </si>
  <si>
    <t>CC-10168</t>
  </si>
  <si>
    <t>2024-06-11</t>
  </si>
  <si>
    <t>CC-10169</t>
  </si>
  <si>
    <t>2024-09-22</t>
  </si>
  <si>
    <t>CC-10170</t>
  </si>
  <si>
    <t>CC-10171</t>
  </si>
  <si>
    <t>2024-12-03</t>
  </si>
  <si>
    <t>CC-10172</t>
  </si>
  <si>
    <t>CC-10173</t>
  </si>
  <si>
    <t>CC-10174</t>
  </si>
  <si>
    <t>CC-10175</t>
  </si>
  <si>
    <t>2024-10-14</t>
  </si>
  <si>
    <t>CC-10176</t>
  </si>
  <si>
    <t>2024-11-11</t>
  </si>
  <si>
    <t>GRACE UWASE</t>
  </si>
  <si>
    <t>CC-10177</t>
  </si>
  <si>
    <t>2024-08-27</t>
  </si>
  <si>
    <t>CC-10178</t>
  </si>
  <si>
    <t>CC-10179</t>
  </si>
  <si>
    <t>2024-08-08</t>
  </si>
  <si>
    <t>CC-10180</t>
  </si>
  <si>
    <t>CC-10181</t>
  </si>
  <si>
    <t>2024-02-19</t>
  </si>
  <si>
    <t>CC-10182</t>
  </si>
  <si>
    <t>2024-01-21</t>
  </si>
  <si>
    <t>CC-10183</t>
  </si>
  <si>
    <t>2024-07-20</t>
  </si>
  <si>
    <t>CC-10184</t>
  </si>
  <si>
    <t>CC-10185</t>
  </si>
  <si>
    <t>CC-10186</t>
  </si>
  <si>
    <t>2024-01-10</t>
  </si>
  <si>
    <t>CC-10187</t>
  </si>
  <si>
    <t>CC-10188</t>
  </si>
  <si>
    <t>2024-08-23</t>
  </si>
  <si>
    <t>CC-10189</t>
  </si>
  <si>
    <t>CC-10190</t>
  </si>
  <si>
    <t>2024-06-27</t>
  </si>
  <si>
    <t>CC-10191</t>
  </si>
  <si>
    <t>CC-10192</t>
  </si>
  <si>
    <t>2024-05-18</t>
  </si>
  <si>
    <t>CC-10193</t>
  </si>
  <si>
    <t>CC-10194</t>
  </si>
  <si>
    <t>2024-09-01</t>
  </si>
  <si>
    <t>CC-10195</t>
  </si>
  <si>
    <t>CC-10196</t>
  </si>
  <si>
    <t>CC-10197</t>
  </si>
  <si>
    <t>CC-10198</t>
  </si>
  <si>
    <t>2024-05-31</t>
  </si>
  <si>
    <t>CC-10199</t>
  </si>
  <si>
    <t>CC-10200</t>
  </si>
  <si>
    <t>2024-08-16</t>
  </si>
  <si>
    <t>CC-10201</t>
  </si>
  <si>
    <t>CC-10202</t>
  </si>
  <si>
    <t>CC-10203</t>
  </si>
  <si>
    <t>2024-12-06</t>
  </si>
  <si>
    <t>CC-10204</t>
  </si>
  <si>
    <t>2024-10-15</t>
  </si>
  <si>
    <t>CC-10205</t>
  </si>
  <si>
    <t>2024-12-14</t>
  </si>
  <si>
    <t>CC-10206</t>
  </si>
  <si>
    <t>2024-07-31</t>
  </si>
  <si>
    <t>CC-10207</t>
  </si>
  <si>
    <t>2024-04-21</t>
  </si>
  <si>
    <t>CC-10208</t>
  </si>
  <si>
    <t>CC-10209</t>
  </si>
  <si>
    <t>CC-10210</t>
  </si>
  <si>
    <t>2024-03-06</t>
  </si>
  <si>
    <t>CC-10211</t>
  </si>
  <si>
    <t>CC-10212</t>
  </si>
  <si>
    <t>2024-04-15</t>
  </si>
  <si>
    <t>CC-10213</t>
  </si>
  <si>
    <t>2024-04-29</t>
  </si>
  <si>
    <t>CC-10214</t>
  </si>
  <si>
    <t>2024-11-02</t>
  </si>
  <si>
    <t>CC-10215</t>
  </si>
  <si>
    <t>2024-10-12</t>
  </si>
  <si>
    <t>CC-10216</t>
  </si>
  <si>
    <t>CC-10217</t>
  </si>
  <si>
    <t>CC-10218</t>
  </si>
  <si>
    <t>2024-11-27</t>
  </si>
  <si>
    <t>CC-10219</t>
  </si>
  <si>
    <t>CC-10220</t>
  </si>
  <si>
    <t>2024-01-08</t>
  </si>
  <si>
    <t>CC-10221</t>
  </si>
  <si>
    <t>CC-10222</t>
  </si>
  <si>
    <t>CC-10223</t>
  </si>
  <si>
    <t>CC-10224</t>
  </si>
  <si>
    <t>2024-04-27</t>
  </si>
  <si>
    <t>CC-10225</t>
  </si>
  <si>
    <t>2024-03-27</t>
  </si>
  <si>
    <t>CC-10226</t>
  </si>
  <si>
    <t>CC-10227</t>
  </si>
  <si>
    <t>2024-11-12</t>
  </si>
  <si>
    <t>CC-10228</t>
  </si>
  <si>
    <t>CC-10229</t>
  </si>
  <si>
    <t>2024-04-08</t>
  </si>
  <si>
    <t>CC-10230</t>
  </si>
  <si>
    <t>CC-10231</t>
  </si>
  <si>
    <t>2024-08-31</t>
  </si>
  <si>
    <t>CC-10232</t>
  </si>
  <si>
    <t>2024-04-18</t>
  </si>
  <si>
    <t>CC-10233</t>
  </si>
  <si>
    <t>CC-10234</t>
  </si>
  <si>
    <t>2024-07-18</t>
  </si>
  <si>
    <t>CC-10235</t>
  </si>
  <si>
    <t>CC-10236</t>
  </si>
  <si>
    <t>2024-04-26</t>
  </si>
  <si>
    <t>CC-10237</t>
  </si>
  <si>
    <t>2024-03-19</t>
  </si>
  <si>
    <t>CC-10238</t>
  </si>
  <si>
    <t>2024-06-06</t>
  </si>
  <si>
    <t>CC-10239</t>
  </si>
  <si>
    <t>CC-10240</t>
  </si>
  <si>
    <t>2024-07-17</t>
  </si>
  <si>
    <t>CC-10241</t>
  </si>
  <si>
    <t>CC-10242</t>
  </si>
  <si>
    <t>CC-10243</t>
  </si>
  <si>
    <t>CC-10244</t>
  </si>
  <si>
    <t>CC-10245</t>
  </si>
  <si>
    <t>CC-10246</t>
  </si>
  <si>
    <t>CC-10247</t>
  </si>
  <si>
    <t>2024-05-03</t>
  </si>
  <si>
    <t>CC-10248</t>
  </si>
  <si>
    <t>CC-10249</t>
  </si>
  <si>
    <t>2024-05-07</t>
  </si>
  <si>
    <t>CC-10250</t>
  </si>
  <si>
    <t>2024-02-20</t>
  </si>
  <si>
    <t>CC-10251</t>
  </si>
  <si>
    <t>JOHN GASANA</t>
  </si>
  <si>
    <t>CC-10252</t>
  </si>
  <si>
    <t>CC-10253</t>
  </si>
  <si>
    <t>2024-12-22</t>
  </si>
  <si>
    <t>CC-10254</t>
  </si>
  <si>
    <t>CC-10255</t>
  </si>
  <si>
    <t>CC-10256</t>
  </si>
  <si>
    <t>2024-12-26</t>
  </si>
  <si>
    <t>CC-10257</t>
  </si>
  <si>
    <t>2024-06-15</t>
  </si>
  <si>
    <t>CC-10258</t>
  </si>
  <si>
    <t>CC-10259</t>
  </si>
  <si>
    <t>2024-06-05</t>
  </si>
  <si>
    <t>CC-10260</t>
  </si>
  <si>
    <t>2024-04-05</t>
  </si>
  <si>
    <t>CC-10261</t>
  </si>
  <si>
    <t>CC-10262</t>
  </si>
  <si>
    <t>CC-10263</t>
  </si>
  <si>
    <t>2024-01-16</t>
  </si>
  <si>
    <t>CC-10264</t>
  </si>
  <si>
    <t>CC-10265</t>
  </si>
  <si>
    <t>CC-10266</t>
  </si>
  <si>
    <t>CC-10267</t>
  </si>
  <si>
    <t>CC-10268</t>
  </si>
  <si>
    <t>CC-10269</t>
  </si>
  <si>
    <t>2024-12-01</t>
  </si>
  <si>
    <t>CC-10270</t>
  </si>
  <si>
    <t>CC-10271</t>
  </si>
  <si>
    <t>2024-10-24</t>
  </si>
  <si>
    <t>CC-10272</t>
  </si>
  <si>
    <t>2024-08-07</t>
  </si>
  <si>
    <t>CC-10273</t>
  </si>
  <si>
    <t>2024-01-24</t>
  </si>
  <si>
    <t>CC-10274</t>
  </si>
  <si>
    <t>2024-04-13</t>
  </si>
  <si>
    <t>CC-10275</t>
  </si>
  <si>
    <t>CC-10276</t>
  </si>
  <si>
    <t>CC-10277</t>
  </si>
  <si>
    <t>2024-12-21</t>
  </si>
  <si>
    <t>CC-10278</t>
  </si>
  <si>
    <t>CC-10279</t>
  </si>
  <si>
    <t>CC-10280</t>
  </si>
  <si>
    <t>CC-10281</t>
  </si>
  <si>
    <t>CC-10282</t>
  </si>
  <si>
    <t>CC-10283</t>
  </si>
  <si>
    <t>CC-10284</t>
  </si>
  <si>
    <t>CC-10285</t>
  </si>
  <si>
    <t>CC-10286</t>
  </si>
  <si>
    <t>CC-10287</t>
  </si>
  <si>
    <t>2024-03-24</t>
  </si>
  <si>
    <t>CC-10288</t>
  </si>
  <si>
    <t>2024-03-01</t>
  </si>
  <si>
    <t>CC-10289</t>
  </si>
  <si>
    <t>CC-10290</t>
  </si>
  <si>
    <t>CC-10291</t>
  </si>
  <si>
    <t>2024-06-13</t>
  </si>
  <si>
    <t>CC-10292</t>
  </si>
  <si>
    <t>2024-04-24</t>
  </si>
  <si>
    <t>CC-10293</t>
  </si>
  <si>
    <t>2024-08-21</t>
  </si>
  <si>
    <t>CC-10294</t>
  </si>
  <si>
    <t>2024-10-06</t>
  </si>
  <si>
    <t>CC-10295</t>
  </si>
  <si>
    <t>2024-02-23</t>
  </si>
  <si>
    <t>CC-10296</t>
  </si>
  <si>
    <t>2024-04-28</t>
  </si>
  <si>
    <t>CC-10297</t>
  </si>
  <si>
    <t>CC-10298</t>
  </si>
  <si>
    <t>CC-10299</t>
  </si>
  <si>
    <t>2024-08-26</t>
  </si>
  <si>
    <t>CC-10300</t>
  </si>
  <si>
    <t>2024-03-02</t>
  </si>
  <si>
    <t>Month</t>
  </si>
  <si>
    <t>Month Number</t>
  </si>
  <si>
    <t>Quarter</t>
  </si>
  <si>
    <t>HT</t>
  </si>
  <si>
    <t>Missing-Date</t>
  </si>
  <si>
    <t>Duplicates</t>
  </si>
  <si>
    <t>📊 A. FCR Rate by Team (COUNTIFS)</t>
  </si>
  <si>
    <t>Total Cases</t>
  </si>
  <si>
    <t>FCR = Yes</t>
  </si>
  <si>
    <t>FCR = No</t>
  </si>
  <si>
    <t>FCR Rate %</t>
  </si>
  <si>
    <t>📊 B. Avg CSAT &amp; Handle Time by Issue (AVERAGEIFS)</t>
  </si>
  <si>
    <t>Issue Category</t>
  </si>
  <si>
    <t>Avg CSAT</t>
  </si>
  <si>
    <t>Avg Handle Time</t>
  </si>
  <si>
    <t>Case Count</t>
  </si>
  <si>
    <t>Cases</t>
  </si>
  <si>
    <t>FCR Yes</t>
  </si>
  <si>
    <t>FCR Rate</t>
  </si>
  <si>
    <t>Escalations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</si>
  <si>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</si>
  <si>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</si>
  <si>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</si>
  <si>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</si>
  <si>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</si>
  <si>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</si>
  <si>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</si>
  <si>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</si>
  <si>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</si>
  <si>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</si>
  <si>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</si>
  <si>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</si>
  <si>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📊 C. Monthly KPI Summary</t>
  </si>
  <si>
    <t>Agent ID</t>
  </si>
  <si>
    <t>Agent Name</t>
  </si>
  <si>
    <t>Escalation Rate</t>
  </si>
  <si>
    <t>Performance Tag</t>
  </si>
  <si>
    <t xml:space="preserve">📊 D. Agent Performance Scorecard </t>
  </si>
  <si>
    <t>📊 E. Channel Performance (SUMIFS)</t>
  </si>
  <si>
    <t>Channel</t>
  </si>
  <si>
    <t>Avg Wait Time</t>
  </si>
  <si>
    <t xml:space="preserve"> </t>
  </si>
  <si>
    <t>Row Labels</t>
  </si>
  <si>
    <t>Grand Total</t>
  </si>
  <si>
    <t>Column Labels</t>
  </si>
  <si>
    <t>Count of Case_ID</t>
  </si>
  <si>
    <t>Average of CSAT_Score</t>
  </si>
  <si>
    <t>(All)</t>
  </si>
  <si>
    <t>Average of Handle_Time_Min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</si>
</sst>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0838F"/>
        <bgColor rgb="FF00695C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00ACC1"/>
        <bgColor rgb="FF00838F"/>
      </patternFill>
    </fill>
    <fill>
      <patternFill patternType="solid">
        <fgColor theme="9" tint="-0.249977111117893"/>
        <bgColor rgb="FF00695C"/>
      </patternFill>
    </fill>
    <fill>
      <patternFill patternType="solid">
        <fgColor theme="3" tint="-0.499984740745262"/>
        <bgColor rgb="FF00838F"/>
      </patternFill>
    </fill>
    <fill>
      <patternFill patternType="solid">
        <fgColor theme="8" tint="-0.249977111117893"/>
        <bgColor rgb="FF00838F"/>
      </patternFill>
    </fill>
    <fill>
      <patternFill patternType="solid">
        <fgColor rgb="FF005662"/>
        <bgColor rgb="FF006064"/>
      </patternFill>
    </fill>
    <fill>
      <patternFill patternType="solid">
        <fgColor rgb="FF006064"/>
        <bgColor rgb="FF00695C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2" fontId="3" fillId="3" borderId="1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4" borderId="0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4" borderId="3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0" fillId="0" borderId="2" xfId="0" applyBorder="1" applyAlignment="1"/>
    <xf numFmtId="9" fontId="0" fillId="0" borderId="2" xfId="2" applyFont="1" applyBorder="1" applyAlignment="1"/>
    <xf numFmtId="0" fontId="5" fillId="6" borderId="2" xfId="0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2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6" fillId="5" borderId="4" xfId="0" applyFont="1" applyFill="1" applyBorder="1" applyAlignment="1">
      <alignment horizontal="center" vertical="center"/>
    </xf>
    <xf numFmtId="9" fontId="0" fillId="0" borderId="2" xfId="2" applyFont="1" applyBorder="1"/>
    <xf numFmtId="9" fontId="0" fillId="0" borderId="0" xfId="2" applyFont="1"/>
    <xf numFmtId="2" fontId="0" fillId="0" borderId="0" xfId="0" applyNumberFormat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10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3">
    <cellStyle name="Normal" xfId="0" builtinId="0"/>
    <cellStyle name="Normal 2" xfId="1"/>
    <cellStyle name="Percent" xfId="2" builtinId="5"/>
  </cellStyles>
  <dxfs count="8"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</dxfs>
  <tableStyles count="0" defaultTableStyle="TableStyleMedium2" defaultPivotStyle="PivotStyleLight16"/>
  <colors>
    <mruColors>
      <color rgb="FFD84315"/>
      <color rgb="FFC49000"/>
      <color rgb="FF2E7D32"/>
      <color rgb="FF004D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47.472984837965" createdVersion="5" refreshedVersion="5" minRefreshableVersion="3" recordCount="300">
  <cacheSource type="worksheet">
    <worksheetSource ref="A1:W301" sheet="Cleaned Data "/>
  </cacheSource>
  <cacheFields count="23">
    <cacheField name="Case_ID" numFmtId="0">
      <sharedItems/>
    </cacheField>
    <cacheField name="Date" numFmtId="0">
      <sharedItems containsBlank="1" count="218">
        <s v="Missing"/>
        <s v="2024-02-17A24"/>
        <s v="2024-03-22A24"/>
        <s v="2024-07-2A24"/>
        <s v="2024-07-4A24"/>
        <s v="2024-05-22A24"/>
        <s v="2024-05-5A24"/>
        <s v="2024-06-10A24"/>
        <s v="2024-03-14A24"/>
        <s v="2024-03-11A24"/>
        <s v="2024-07-14A24"/>
        <s v="2024-02-27A24"/>
        <s v="2024-11-23A24"/>
        <s v="2024-02-5A24"/>
        <s v="2024-10-3A24"/>
        <s v="2024-05-6A24"/>
        <s v="2024-02-4A24"/>
        <s v="2024-08-30A24"/>
        <s v="2024-02-1A24"/>
        <s v="2024-08-24A24"/>
        <s v="2024-05-1A24"/>
        <s v="2024-05-15A24"/>
        <s v="2024-01-30A24"/>
        <s v="2024-09-17A24"/>
        <s v="2024-10-31A24"/>
        <s v="2024-10-2A24"/>
        <s v="2024-08-12A24"/>
        <s v="2024-01-27A24"/>
        <s v="2024-12-27A24"/>
        <s v="2024-10-9A24"/>
        <s v="2024-06-30A24"/>
        <s v="2024-01-13A24"/>
        <s v="2024-01-20A24"/>
        <s v="2024-07-23A24"/>
        <s v="2024-02-29A24"/>
        <s v="2024-09-18A24"/>
        <s v="2024-11-15A24"/>
        <s v="2024-10-10A24"/>
        <s v="2024-10-7A24"/>
        <s v="2024-04-30A24"/>
        <s v="2024-11-18A24"/>
        <s v="2024-04-22A24"/>
        <s v="2024-12-7A24"/>
        <s v="2024-08-18A24"/>
        <s v="2024-05-19A24"/>
        <s v="2024-07-27A24"/>
        <m/>
        <s v="2024-04-22"/>
        <s v="2024-09-30"/>
        <s v="2024-01-26"/>
        <s v="2024-08-28"/>
        <s v="2024-04-12"/>
        <s v="2024-07-07"/>
        <s v="2024-10-21"/>
        <s v="2024-01-22"/>
        <s v="2024-07-04"/>
        <s v="2024-08-11"/>
        <s v="2024-10-18"/>
        <s v="2024-05-12"/>
        <s v="2024-07-27"/>
        <s v="2024-04-23"/>
        <s v="2024-10-08"/>
        <s v="2024-10-01"/>
        <s v="2024-06-03"/>
        <s v="2024-10-20"/>
        <s v="2024-09-08"/>
        <s v="2024-11-01"/>
        <s v="2024-03-29"/>
        <s v="2024-12-27"/>
        <s v="2024-10-05"/>
        <s v="2024-02-11"/>
        <s v="2024-10-27"/>
        <s v="2024-04-02"/>
        <s v="2024-12-09"/>
        <s v="2024-02-15"/>
        <s v="2024-04-06"/>
        <s v="2024-08-12"/>
        <s v="2024-09-04"/>
        <s v="2024-09-16"/>
        <s v="2024-06-19"/>
        <s v="2024-07-29"/>
        <s v="2024-03-05"/>
        <s v="2024-07-28"/>
        <s v="2024-10-04"/>
        <s v="2024-11-20"/>
        <s v="2024-07-10"/>
        <s v="2024-07-14"/>
        <s v="2024-12-07"/>
        <s v="2024-06-02"/>
        <s v="2024-10-19"/>
        <s v="2024-09-11"/>
        <s v="2024-11-17"/>
        <s v="2024-02-16"/>
        <s v="2024-07-21"/>
        <s v="2024-12-11"/>
        <s v="2024-12-24"/>
        <s v="2024-03-10"/>
        <s v="2024-09-07"/>
        <s v="2024-12-17"/>
        <s v="2024-10-10"/>
        <s v="2024-05-08"/>
        <s v="2024-05-15"/>
        <s v="2024-09-14"/>
        <s v="2024-07-24"/>
        <s v="2024-09-15"/>
        <s v="2024-06-22"/>
        <s v="2024-02-04"/>
        <s v="2024-10-22"/>
        <s v="2024-05-19"/>
        <s v="2024-09-28"/>
        <s v="2024-02-28"/>
        <s v="2024-01-04"/>
        <s v="2024-07-22"/>
        <s v="2024-05-04"/>
        <s v="2024-02-09"/>
        <s v="2024-04-11"/>
        <s v="2024-11-25"/>
        <s v="2024-05-20"/>
        <s v="2024-11-05"/>
        <s v="2024-05-06"/>
        <s v="2024-10-13"/>
        <s v="2024-07-11"/>
        <s v="2024-12-12"/>
        <s v="2024-12-13"/>
        <s v="2024-02-12"/>
        <s v="2024-01-28"/>
        <s v="2024-11-28"/>
        <s v="2024-01-03"/>
        <s v="2024-05-02"/>
        <s v="2024-09-26"/>
        <s v="2024-05-09"/>
        <s v="2024-01-19"/>
        <s v="2024-08-30"/>
        <s v="2024-07-23"/>
        <s v="2024-08-05"/>
        <s v="2024-11-04"/>
        <s v="2024-02-08"/>
        <s v="2024-07-09"/>
        <s v="2024-01-14"/>
        <s v="2024-05-26"/>
        <s v="2024-03-12"/>
        <s v="2024-02-14"/>
        <s v="2024-06-11"/>
        <s v="2024-09-22"/>
        <s v="2024-12-03"/>
        <s v="2024-05-05"/>
        <s v="2024-03-14"/>
        <s v="2024-10-14"/>
        <s v="2024-11-11"/>
        <s v="2024-08-27"/>
        <s v="2024-08-08"/>
        <s v="2024-02-19"/>
        <s v="2024-01-21"/>
        <s v="2024-07-20"/>
        <s v="2024-01-10"/>
        <s v="2024-08-23"/>
        <s v="2024-05-22"/>
        <s v="2024-06-27"/>
        <s v="2024-05-18"/>
        <s v="2024-01-27"/>
        <s v="2024-09-01"/>
        <s v="2024-01-20"/>
        <s v="2024-05-31"/>
        <s v="2024-08-16"/>
        <s v="2024-12-06"/>
        <s v="2024-10-15"/>
        <s v="2024-12-14"/>
        <s v="2024-07-31"/>
        <s v="2024-04-21"/>
        <s v="2024-03-06"/>
        <s v="2024-04-15"/>
        <s v="2024-04-29"/>
        <s v="2024-11-02"/>
        <s v="2024-10-12"/>
        <s v="2024-01-30"/>
        <s v="2024-11-27"/>
        <s v="2024-01-08"/>
        <s v="2024-04-27"/>
        <s v="2024-03-27"/>
        <s v="2024-11-12"/>
        <s v="2024-04-08"/>
        <s v="2024-08-31"/>
        <s v="2024-04-18"/>
        <s v="2024-07-18"/>
        <s v="2024-04-26"/>
        <s v="2024-03-19"/>
        <s v="2024-06-06"/>
        <s v="2024-07-17"/>
        <s v="2024-05-03"/>
        <s v="2024-05-07"/>
        <s v="2024-02-20"/>
        <s v="2024-02-29"/>
        <s v="2024-12-22"/>
        <s v="2024-11-23"/>
        <s v="2024-12-26"/>
        <s v="2024-06-15"/>
        <s v="2024-06-05"/>
        <s v="2024-04-05"/>
        <s v="2024-01-16"/>
        <s v="2024-09-18"/>
        <s v="2024-12-01"/>
        <s v="2024-10-24"/>
        <s v="2024-08-07"/>
        <s v="2024-01-24"/>
        <s v="2024-04-13"/>
        <s v="2024-12-21"/>
        <s v="2024-06-10"/>
        <s v="2024-03-24"/>
        <s v="2024-03-01"/>
        <s v="2024-09-17"/>
        <s v="2024-06-13"/>
        <s v="2024-04-24"/>
        <s v="2024-08-21"/>
        <s v="2024-10-06"/>
        <s v="2024-02-23"/>
        <s v="2024-04-28"/>
        <s v="2024-08-26"/>
        <s v="2024-03-02"/>
      </sharedItems>
    </cacheField>
    <cacheField name="Agent_ID" numFmtId="0">
      <sharedItems/>
    </cacheField>
    <cacheField name="Agent_Name" numFmtId="0">
      <sharedItems count="10">
        <s v="Bob Nshimiyimana"/>
        <s v="David Habimana"/>
        <s v="Grace Uwase"/>
        <s v="Frank Nzeyimana"/>
        <s v="John Gasana"/>
        <s v="Henry Bizimana"/>
        <s v="Claire Mukamana"/>
        <s v="Eve Ingabire"/>
        <s v="Irene Mutesi"/>
        <s v="Alice Uwimana"/>
      </sharedItems>
    </cacheField>
    <cacheField name="Channel_Type" numFmtId="0">
      <sharedItems count="3">
        <s v="Inbound"/>
        <s v="Outbound"/>
        <s v="Email"/>
      </sharedItems>
    </cacheField>
    <cacheField name="Team" numFmtId="0">
      <sharedItems count="3">
        <s v="Team Alpha"/>
        <s v="Team Beta"/>
        <s v="Team Gamma"/>
      </sharedItems>
    </cacheField>
    <cacheField name="Contact_Type" numFmtId="0">
      <sharedItems/>
    </cacheField>
    <cacheField name="Issue_Category" numFmtId="0">
      <sharedItems count="8">
        <s v="Billing"/>
        <s v="Returns"/>
        <s v="Payment"/>
        <s v="Technical"/>
        <s v="Account"/>
        <s v="Shipping"/>
        <s v="General Inquiry"/>
        <s v="Password Reset"/>
      </sharedItems>
    </cacheField>
    <cacheField name="Handle_Time_Min" numFmtId="0">
      <sharedItems containsSemiMixedTypes="0" containsString="0" containsNumber="1" minValue="1" maxValue="15.4"/>
    </cacheField>
    <cacheField name="Wait_Time_Min" numFmtId="0">
      <sharedItems containsSemiMixedTypes="0" containsString="0" containsNumber="1" minValue="0" maxValue="11.4"/>
    </cacheField>
    <cacheField name="FCR_Flag" numFmtId="0">
      <sharedItems/>
    </cacheField>
    <cacheField name="CSAT_Score" numFmtId="0">
      <sharedItems containsSemiMixedTypes="0" containsString="0" containsNumber="1" containsInteger="1" minValue="1" maxValue="5"/>
    </cacheField>
    <cacheField name="Sentiment" numFmtId="0">
      <sharedItems count="5">
        <s v="Positive"/>
        <s v="Very Negative"/>
        <s v="Very Positive"/>
        <s v="Neutral"/>
        <s v="Negative"/>
      </sharedItems>
    </cacheField>
    <cacheField name="Escalated" numFmtId="0">
      <sharedItems/>
    </cacheField>
    <cacheField name="Transfers" numFmtId="0">
      <sharedItems containsSemiMixedTypes="0" containsString="0" containsNumber="1" containsInteger="1" minValue="0" maxValue="3"/>
    </cacheField>
    <cacheField name="Case_Outcome" numFmtId="0">
      <sharedItems count="5">
        <s v="Abandoned"/>
        <s v="Escalated"/>
        <s v="Resolved"/>
        <s v="Transferred"/>
        <s v="Callback"/>
      </sharedItems>
    </cacheField>
    <cacheField name="Notes" numFmtId="0">
      <sharedItems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2"/>
    </cacheField>
    <cacheField name="Quarter" numFmtId="0">
      <sharedItems/>
    </cacheField>
    <cacheField name="HT" numFmtId="0">
      <sharedItems/>
    </cacheField>
    <cacheField name="Missing-Date" numFmtId="0">
      <sharedItems/>
    </cacheField>
    <cacheField name="Duplica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CC-10001"/>
    <x v="0"/>
    <s v="AG002"/>
    <x v="0"/>
    <x v="0"/>
    <x v="0"/>
    <s v="Chat"/>
    <x v="0"/>
    <n v="7.6041237113402103"/>
    <n v="4.3"/>
    <s v="Yes"/>
    <n v="3"/>
    <x v="0"/>
    <s v="No"/>
    <n v="0"/>
    <x v="0"/>
    <s v="Case handled by AG002"/>
    <s v="January"/>
    <n v="1"/>
    <s v="Q1"/>
    <s v="Low"/>
    <s v="Yes"/>
    <s v="OK"/>
  </r>
  <r>
    <s v="CC-10002"/>
    <x v="1"/>
    <s v="AG004"/>
    <x v="1"/>
    <x v="1"/>
    <x v="1"/>
    <s v="Chat"/>
    <x v="1"/>
    <n v="8.4"/>
    <n v="6.7"/>
    <s v="Yes"/>
    <n v="4"/>
    <x v="0"/>
    <s v="No"/>
    <n v="1"/>
    <x v="1"/>
    <s v="Case handled by AG004"/>
    <s v="February"/>
    <n v="2"/>
    <s v="Q1"/>
    <s v="Low"/>
    <s v="No"/>
    <s v="OK"/>
  </r>
  <r>
    <s v="CC-10003"/>
    <x v="2"/>
    <s v="AG007"/>
    <x v="2"/>
    <x v="2"/>
    <x v="2"/>
    <s v="Phone"/>
    <x v="2"/>
    <n v="7.1"/>
    <n v="5"/>
    <s v="Yes"/>
    <n v="5"/>
    <x v="0"/>
    <s v="No"/>
    <n v="1"/>
    <x v="2"/>
    <s v="Case handled by AG007"/>
    <s v="March"/>
    <n v="3"/>
    <s v="Q1"/>
    <s v="Low"/>
    <s v="No"/>
    <s v="OK"/>
  </r>
  <r>
    <s v="CC-10004"/>
    <x v="3"/>
    <s v="AG006"/>
    <x v="3"/>
    <x v="2"/>
    <x v="2"/>
    <s v="Phone"/>
    <x v="1"/>
    <n v="3.7"/>
    <n v="1.8"/>
    <s v="Yes"/>
    <n v="5"/>
    <x v="1"/>
    <s v="No"/>
    <n v="0"/>
    <x v="3"/>
    <s v="Case handled by AG006"/>
    <s v="July"/>
    <n v="7"/>
    <s v="Q3"/>
    <s v="Low"/>
    <s v="No"/>
    <s v="OK"/>
  </r>
  <r>
    <s v="CC-10005"/>
    <x v="4"/>
    <s v="AG010"/>
    <x v="4"/>
    <x v="2"/>
    <x v="2"/>
    <s v="Phone"/>
    <x v="3"/>
    <n v="8.4"/>
    <n v="4.7"/>
    <s v="Yes"/>
    <n v="5"/>
    <x v="2"/>
    <s v="No"/>
    <n v="1"/>
    <x v="2"/>
    <s v="Case handled by AG010"/>
    <s v="July"/>
    <n v="7"/>
    <s v="Q3"/>
    <s v="Low"/>
    <s v="No"/>
    <s v="OK"/>
  </r>
  <r>
    <s v="CC-10006"/>
    <x v="5"/>
    <s v="AG008"/>
    <x v="5"/>
    <x v="1"/>
    <x v="1"/>
    <s v="Phone"/>
    <x v="4"/>
    <n v="6.1"/>
    <n v="2.6"/>
    <s v="Yes"/>
    <n v="4"/>
    <x v="1"/>
    <s v="No"/>
    <n v="0"/>
    <x v="4"/>
    <s v="Case handled by AG008"/>
    <s v="May"/>
    <n v="5"/>
    <s v="Q2"/>
    <s v="Low"/>
    <s v="No"/>
    <s v="OK"/>
  </r>
  <r>
    <s v="CC-10007"/>
    <x v="6"/>
    <s v="AG003"/>
    <x v="6"/>
    <x v="1"/>
    <x v="1"/>
    <s v="Phone"/>
    <x v="5"/>
    <n v="5.7"/>
    <n v="4.4000000000000004"/>
    <s v="Yes"/>
    <n v="5"/>
    <x v="0"/>
    <s v="No"/>
    <n v="0"/>
    <x v="4"/>
    <s v="Case handled by AG003"/>
    <s v="May"/>
    <n v="5"/>
    <s v="Q2"/>
    <s v="Low"/>
    <s v="No"/>
    <s v="OK"/>
  </r>
  <r>
    <s v="CC-10008"/>
    <x v="7"/>
    <s v="AG007"/>
    <x v="2"/>
    <x v="2"/>
    <x v="2"/>
    <s v="Chat"/>
    <x v="2"/>
    <n v="7.8"/>
    <n v="5.4"/>
    <s v="Yes"/>
    <n v="5"/>
    <x v="2"/>
    <s v="No"/>
    <n v="1"/>
    <x v="1"/>
    <s v="Case handled by AG007"/>
    <s v="June"/>
    <n v="6"/>
    <s v="Q2"/>
    <s v="Low"/>
    <s v="No"/>
    <s v="OK"/>
  </r>
  <r>
    <s v="CC-10009"/>
    <x v="8"/>
    <s v="AG005"/>
    <x v="7"/>
    <x v="0"/>
    <x v="0"/>
    <s v="Chat"/>
    <x v="6"/>
    <n v="11.2"/>
    <n v="6.5"/>
    <s v="Yes"/>
    <n v="4"/>
    <x v="3"/>
    <s v="No"/>
    <n v="1"/>
    <x v="0"/>
    <s v="Case handled by AG005"/>
    <s v="March"/>
    <n v="3"/>
    <s v="Q1"/>
    <s v="Medium"/>
    <s v="No"/>
    <s v="OK"/>
  </r>
  <r>
    <s v="CC-10010"/>
    <x v="9"/>
    <s v="AG009"/>
    <x v="8"/>
    <x v="0"/>
    <x v="0"/>
    <s v="Chat"/>
    <x v="3"/>
    <n v="3"/>
    <n v="4.0999999999999996"/>
    <s v="Yes"/>
    <n v="5"/>
    <x v="2"/>
    <s v="No"/>
    <n v="0"/>
    <x v="1"/>
    <s v="Case handled by AG009"/>
    <s v="March"/>
    <n v="3"/>
    <s v="Q1"/>
    <s v="Low"/>
    <s v="No"/>
    <s v="OK"/>
  </r>
  <r>
    <s v="CC-10011"/>
    <x v="10"/>
    <s v="AG010"/>
    <x v="4"/>
    <x v="2"/>
    <x v="2"/>
    <s v="Email"/>
    <x v="1"/>
    <n v="11.7"/>
    <n v="3.9"/>
    <s v="Yes"/>
    <n v="5"/>
    <x v="4"/>
    <s v="No"/>
    <n v="0"/>
    <x v="2"/>
    <s v="Case handled by AG010"/>
    <s v="July"/>
    <n v="7"/>
    <s v="Q3"/>
    <s v="Medium"/>
    <s v="No"/>
    <s v="OK"/>
  </r>
  <r>
    <s v="CC-10012"/>
    <x v="11"/>
    <s v="AG005"/>
    <x v="7"/>
    <x v="0"/>
    <x v="0"/>
    <s v="Phone"/>
    <x v="3"/>
    <n v="5"/>
    <n v="4.9000000000000004"/>
    <s v="Yes"/>
    <n v="5"/>
    <x v="4"/>
    <s v="No"/>
    <n v="1"/>
    <x v="0"/>
    <s v="Case handled by AG005"/>
    <s v="February"/>
    <n v="2"/>
    <s v="Q1"/>
    <s v="Low"/>
    <s v="No"/>
    <s v="OK"/>
  </r>
  <r>
    <s v="CC-10013"/>
    <x v="12"/>
    <s v="AG009"/>
    <x v="8"/>
    <x v="0"/>
    <x v="0"/>
    <s v="Phone"/>
    <x v="7"/>
    <n v="6.7"/>
    <n v="3.3"/>
    <s v="Yes"/>
    <n v="5"/>
    <x v="0"/>
    <s v="No"/>
    <n v="0"/>
    <x v="0"/>
    <s v="Case handled by AG009"/>
    <s v="November"/>
    <n v="11"/>
    <s v="Q4"/>
    <s v="Low"/>
    <s v="No"/>
    <s v="OK"/>
  </r>
  <r>
    <s v="CC-10014"/>
    <x v="11"/>
    <s v="AG006"/>
    <x v="3"/>
    <x v="2"/>
    <x v="2"/>
    <s v="Phone"/>
    <x v="3"/>
    <n v="12.1"/>
    <n v="1.4"/>
    <s v="Yes"/>
    <n v="4"/>
    <x v="2"/>
    <s v="No"/>
    <n v="0"/>
    <x v="0"/>
    <s v="Case handled by AG006"/>
    <s v="February"/>
    <n v="2"/>
    <s v="Q1"/>
    <s v="Medium"/>
    <s v="No"/>
    <s v="OK"/>
  </r>
  <r>
    <s v="CC-10015"/>
    <x v="13"/>
    <s v="AG009"/>
    <x v="8"/>
    <x v="0"/>
    <x v="0"/>
    <s v="Email"/>
    <x v="2"/>
    <n v="8.1999999999999993"/>
    <n v="3"/>
    <s v="Yes"/>
    <n v="4"/>
    <x v="3"/>
    <s v="No"/>
    <n v="0"/>
    <x v="4"/>
    <s v="Case handled by AG009"/>
    <s v="February"/>
    <n v="2"/>
    <s v="Q1"/>
    <s v="Low"/>
    <s v="No"/>
    <s v="OK"/>
  </r>
  <r>
    <s v="CC-10016"/>
    <x v="14"/>
    <s v="AG004"/>
    <x v="1"/>
    <x v="1"/>
    <x v="1"/>
    <s v="Email"/>
    <x v="7"/>
    <n v="7.3"/>
    <n v="2"/>
    <s v="Yes"/>
    <n v="5"/>
    <x v="0"/>
    <s v="No"/>
    <n v="1"/>
    <x v="3"/>
    <s v="Case handled by AG004"/>
    <s v="October"/>
    <n v="10"/>
    <s v="Q4"/>
    <s v="Low"/>
    <s v="No"/>
    <s v="OK"/>
  </r>
  <r>
    <s v="CC-10017"/>
    <x v="15"/>
    <s v="AG004"/>
    <x v="1"/>
    <x v="1"/>
    <x v="1"/>
    <s v="Phone"/>
    <x v="0"/>
    <n v="8.6"/>
    <n v="4.2"/>
    <s v="Yes"/>
    <n v="4"/>
    <x v="3"/>
    <s v="No"/>
    <n v="0"/>
    <x v="2"/>
    <s v="Case handled by AG004"/>
    <s v="May"/>
    <n v="5"/>
    <s v="Q2"/>
    <s v="Low"/>
    <s v="No"/>
    <s v="OK"/>
  </r>
  <r>
    <s v="CC-10018"/>
    <x v="16"/>
    <s v="AG001"/>
    <x v="9"/>
    <x v="0"/>
    <x v="0"/>
    <s v="Email"/>
    <x v="7"/>
    <n v="8.6999999999999993"/>
    <n v="3.4"/>
    <s v="No"/>
    <n v="3"/>
    <x v="3"/>
    <s v="Yes"/>
    <n v="1"/>
    <x v="0"/>
    <s v="Case handled by AG001"/>
    <s v="February"/>
    <n v="2"/>
    <s v="Q1"/>
    <s v="Low"/>
    <s v="No"/>
    <s v="OK"/>
  </r>
  <r>
    <s v="CC-10019"/>
    <x v="17"/>
    <s v="AG007"/>
    <x v="2"/>
    <x v="2"/>
    <x v="2"/>
    <s v="Chat"/>
    <x v="0"/>
    <n v="8.5"/>
    <n v="4.8"/>
    <s v="Yes"/>
    <n v="4"/>
    <x v="0"/>
    <s v="No"/>
    <n v="1"/>
    <x v="3"/>
    <s v="Case handled by AG007"/>
    <s v="August"/>
    <n v="8"/>
    <s v="Q3"/>
    <s v="Low"/>
    <s v="No"/>
    <s v="OK"/>
  </r>
  <r>
    <s v="CC-10020"/>
    <x v="18"/>
    <s v="AG007"/>
    <x v="2"/>
    <x v="2"/>
    <x v="2"/>
    <s v="Chat"/>
    <x v="4"/>
    <n v="7.3"/>
    <n v="0.4"/>
    <s v="No"/>
    <n v="2"/>
    <x v="4"/>
    <s v="Yes"/>
    <n v="3"/>
    <x v="1"/>
    <s v="Case handled by AG007"/>
    <s v="February"/>
    <n v="2"/>
    <s v="Q1"/>
    <s v="Low"/>
    <s v="No"/>
    <s v="OK"/>
  </r>
  <r>
    <s v="CC-10021"/>
    <x v="19"/>
    <s v="AG004"/>
    <x v="1"/>
    <x v="1"/>
    <x v="1"/>
    <s v="Email"/>
    <x v="0"/>
    <n v="8.8000000000000007"/>
    <n v="3.4"/>
    <s v="Yes"/>
    <n v="5"/>
    <x v="0"/>
    <s v="No"/>
    <n v="0"/>
    <x v="2"/>
    <s v="Case handled by AG004"/>
    <s v="August"/>
    <n v="8"/>
    <s v="Q3"/>
    <s v="Low"/>
    <s v="No"/>
    <s v="OK"/>
  </r>
  <r>
    <s v="CC-10022"/>
    <x v="20"/>
    <s v="AG003"/>
    <x v="6"/>
    <x v="1"/>
    <x v="1"/>
    <s v="Chat"/>
    <x v="0"/>
    <n v="5.0999999999999996"/>
    <n v="5.3"/>
    <s v="Yes"/>
    <n v="5"/>
    <x v="2"/>
    <s v="No"/>
    <n v="0"/>
    <x v="1"/>
    <s v="Case handled by AG003"/>
    <s v="May"/>
    <n v="5"/>
    <s v="Q2"/>
    <s v="Low"/>
    <s v="No"/>
    <s v="OK"/>
  </r>
  <r>
    <s v="CC-10023"/>
    <x v="21"/>
    <s v="AG008"/>
    <x v="5"/>
    <x v="1"/>
    <x v="1"/>
    <s v="Phone"/>
    <x v="1"/>
    <n v="7"/>
    <n v="7"/>
    <s v="Yes"/>
    <n v="5"/>
    <x v="3"/>
    <s v="No"/>
    <n v="1"/>
    <x v="1"/>
    <s v="Case handled by AG008"/>
    <s v="May"/>
    <n v="5"/>
    <s v="Q2"/>
    <s v="Low"/>
    <s v="No"/>
    <s v="OK"/>
  </r>
  <r>
    <s v="CC-10024"/>
    <x v="22"/>
    <s v="AG010"/>
    <x v="4"/>
    <x v="2"/>
    <x v="2"/>
    <s v="Chat"/>
    <x v="4"/>
    <n v="7.9"/>
    <n v="3.3"/>
    <s v="Yes"/>
    <n v="4"/>
    <x v="0"/>
    <s v="No"/>
    <n v="0"/>
    <x v="0"/>
    <s v="Case handled by AG010"/>
    <s v="January"/>
    <n v="1"/>
    <s v="Q1"/>
    <s v="Low"/>
    <s v="No"/>
    <s v="OK"/>
  </r>
  <r>
    <s v="CC-10025"/>
    <x v="23"/>
    <s v="AG002"/>
    <x v="0"/>
    <x v="0"/>
    <x v="0"/>
    <s v="Email"/>
    <x v="5"/>
    <n v="8.6999999999999993"/>
    <n v="3.4"/>
    <s v="No"/>
    <n v="2"/>
    <x v="1"/>
    <s v="No"/>
    <n v="1"/>
    <x v="2"/>
    <s v="Case handled by AG002"/>
    <s v="September"/>
    <n v="9"/>
    <s v="Q3"/>
    <s v="Low"/>
    <s v="No"/>
    <s v="OK"/>
  </r>
  <r>
    <s v="CC-10026"/>
    <x v="24"/>
    <s v="AG001"/>
    <x v="9"/>
    <x v="0"/>
    <x v="0"/>
    <s v="Phone"/>
    <x v="6"/>
    <n v="5.7"/>
    <n v="2.6"/>
    <s v="Yes"/>
    <n v="4"/>
    <x v="3"/>
    <s v="No"/>
    <n v="1"/>
    <x v="4"/>
    <s v="Case handled by AG001"/>
    <s v="October"/>
    <n v="10"/>
    <s v="Q4"/>
    <s v="Low"/>
    <s v="No"/>
    <s v="OK"/>
  </r>
  <r>
    <s v="CC-10027"/>
    <x v="21"/>
    <s v="AG007"/>
    <x v="2"/>
    <x v="2"/>
    <x v="2"/>
    <s v="Chat"/>
    <x v="3"/>
    <n v="10.9"/>
    <n v="6.1"/>
    <s v="Yes"/>
    <n v="4"/>
    <x v="0"/>
    <s v="No"/>
    <n v="0"/>
    <x v="2"/>
    <s v="Case handled by AG007"/>
    <s v="May"/>
    <n v="5"/>
    <s v="Q2"/>
    <s v="Medium"/>
    <s v="No"/>
    <s v="OK"/>
  </r>
  <r>
    <s v="CC-10028"/>
    <x v="25"/>
    <s v="AG004"/>
    <x v="1"/>
    <x v="1"/>
    <x v="1"/>
    <s v="Phone"/>
    <x v="1"/>
    <n v="6.4"/>
    <n v="4"/>
    <s v="Yes"/>
    <n v="4"/>
    <x v="3"/>
    <s v="No"/>
    <n v="0"/>
    <x v="1"/>
    <s v="Case handled by AG004"/>
    <s v="October"/>
    <n v="10"/>
    <s v="Q4"/>
    <s v="Low"/>
    <s v="No"/>
    <s v="OK"/>
  </r>
  <r>
    <s v="CC-10029"/>
    <x v="26"/>
    <s v="AG009"/>
    <x v="8"/>
    <x v="0"/>
    <x v="0"/>
    <s v="Phone"/>
    <x v="3"/>
    <n v="6.8"/>
    <n v="1.4"/>
    <s v="Yes"/>
    <n v="5"/>
    <x v="3"/>
    <s v="No"/>
    <n v="0"/>
    <x v="0"/>
    <s v="Case handled by AG009"/>
    <s v="August"/>
    <n v="8"/>
    <s v="Q3"/>
    <s v="Low"/>
    <s v="No"/>
    <s v="OK"/>
  </r>
  <r>
    <s v="CC-10030"/>
    <x v="21"/>
    <s v="AG002"/>
    <x v="0"/>
    <x v="0"/>
    <x v="0"/>
    <s v="Phone"/>
    <x v="7"/>
    <n v="11.8"/>
    <n v="1.9"/>
    <s v="No"/>
    <n v="3"/>
    <x v="4"/>
    <s v="No"/>
    <n v="1"/>
    <x v="1"/>
    <s v="Case handled by AG002"/>
    <s v="May"/>
    <n v="5"/>
    <s v="Q2"/>
    <s v="Medium"/>
    <s v="No"/>
    <s v="OK"/>
  </r>
  <r>
    <s v="CC-10031"/>
    <x v="27"/>
    <s v="AG002"/>
    <x v="0"/>
    <x v="0"/>
    <x v="0"/>
    <s v="Phone"/>
    <x v="7"/>
    <n v="4.3"/>
    <n v="1.2"/>
    <s v="No"/>
    <n v="1"/>
    <x v="1"/>
    <s v="Yes"/>
    <n v="1"/>
    <x v="4"/>
    <s v="Case handled by AG002"/>
    <s v="January"/>
    <n v="1"/>
    <s v="Q1"/>
    <s v="Low"/>
    <s v="No"/>
    <s v="OK"/>
  </r>
  <r>
    <s v="CC-10032"/>
    <x v="28"/>
    <s v="AG007"/>
    <x v="2"/>
    <x v="2"/>
    <x v="2"/>
    <s v="Phone"/>
    <x v="6"/>
    <n v="6.6"/>
    <n v="3.6"/>
    <s v="Yes"/>
    <n v="5"/>
    <x v="1"/>
    <s v="No"/>
    <n v="0"/>
    <x v="0"/>
    <s v="Case handled by AG007"/>
    <s v="December"/>
    <n v="12"/>
    <s v="Q4"/>
    <s v="Low"/>
    <s v="No"/>
    <s v="OK"/>
  </r>
  <r>
    <s v="CC-10033"/>
    <x v="29"/>
    <s v="AG003"/>
    <x v="6"/>
    <x v="1"/>
    <x v="1"/>
    <s v="Phone"/>
    <x v="5"/>
    <n v="7.2"/>
    <n v="4.2"/>
    <s v="Yes"/>
    <n v="4"/>
    <x v="0"/>
    <s v="No"/>
    <n v="0"/>
    <x v="4"/>
    <s v="Case handled by AG003"/>
    <s v="October"/>
    <n v="10"/>
    <s v="Q4"/>
    <s v="Low"/>
    <s v="No"/>
    <s v="OK"/>
  </r>
  <r>
    <s v="CC-10034"/>
    <x v="30"/>
    <s v="AG009"/>
    <x v="8"/>
    <x v="0"/>
    <x v="0"/>
    <s v="Phone"/>
    <x v="4"/>
    <n v="10.3"/>
    <n v="2.6"/>
    <s v="Yes"/>
    <n v="4"/>
    <x v="2"/>
    <s v="No"/>
    <n v="0"/>
    <x v="1"/>
    <s v="Case handled by AG009"/>
    <s v="June"/>
    <n v="6"/>
    <s v="Q2"/>
    <s v="Medium"/>
    <s v="No"/>
    <s v="OK"/>
  </r>
  <r>
    <s v="CC-10035"/>
    <x v="31"/>
    <s v="AG003"/>
    <x v="6"/>
    <x v="1"/>
    <x v="1"/>
    <s v="Phone"/>
    <x v="3"/>
    <n v="7.8"/>
    <n v="2.2000000000000002"/>
    <s v="Yes"/>
    <n v="5"/>
    <x v="2"/>
    <s v="No"/>
    <n v="0"/>
    <x v="4"/>
    <s v="Case handled by AG003"/>
    <s v="January"/>
    <n v="1"/>
    <s v="Q1"/>
    <s v="Low"/>
    <s v="No"/>
    <s v="OK"/>
  </r>
  <r>
    <s v="CC-10036"/>
    <x v="32"/>
    <s v="AG008"/>
    <x v="5"/>
    <x v="1"/>
    <x v="1"/>
    <s v="Phone"/>
    <x v="0"/>
    <n v="7.6041237113402103"/>
    <n v="7.6"/>
    <s v="Yes"/>
    <n v="4"/>
    <x v="3"/>
    <s v="No"/>
    <n v="1"/>
    <x v="1"/>
    <s v="Case handled by AG008"/>
    <s v="January"/>
    <n v="1"/>
    <s v="Q1"/>
    <s v="Low"/>
    <s v="No"/>
    <s v="OK"/>
  </r>
  <r>
    <s v="CC-10037"/>
    <x v="33"/>
    <s v="AG006"/>
    <x v="3"/>
    <x v="2"/>
    <x v="2"/>
    <s v="Chat"/>
    <x v="6"/>
    <n v="7.8"/>
    <n v="4.7"/>
    <s v="Yes"/>
    <n v="5"/>
    <x v="0"/>
    <s v="No"/>
    <n v="1"/>
    <x v="0"/>
    <s v="Case handled by AG006"/>
    <s v="July"/>
    <n v="7"/>
    <s v="Q3"/>
    <s v="Low"/>
    <s v="No"/>
    <s v="OK"/>
  </r>
  <r>
    <s v="CC-10038"/>
    <x v="34"/>
    <s v="AG005"/>
    <x v="7"/>
    <x v="0"/>
    <x v="0"/>
    <s v="Phone"/>
    <x v="2"/>
    <n v="11.3"/>
    <n v="8.6"/>
    <s v="Yes"/>
    <n v="3"/>
    <x v="1"/>
    <s v="No"/>
    <n v="1"/>
    <x v="4"/>
    <s v="Case handled by AG005"/>
    <s v="February"/>
    <n v="2"/>
    <s v="Q1"/>
    <s v="Medium"/>
    <s v="No"/>
    <s v="OK"/>
  </r>
  <r>
    <s v="CC-10039"/>
    <x v="35"/>
    <s v="AG002"/>
    <x v="0"/>
    <x v="0"/>
    <x v="0"/>
    <s v="Chat"/>
    <x v="3"/>
    <n v="5"/>
    <n v="5.7"/>
    <s v="No"/>
    <n v="3"/>
    <x v="4"/>
    <s v="Yes"/>
    <n v="1"/>
    <x v="4"/>
    <s v="Case handled by AG002"/>
    <s v="September"/>
    <n v="9"/>
    <s v="Q3"/>
    <s v="Low"/>
    <s v="No"/>
    <s v="OK"/>
  </r>
  <r>
    <s v="CC-10040"/>
    <x v="36"/>
    <s v="AG006"/>
    <x v="3"/>
    <x v="2"/>
    <x v="2"/>
    <s v="Phone"/>
    <x v="2"/>
    <n v="7.2"/>
    <n v="3.1"/>
    <s v="Yes"/>
    <n v="5"/>
    <x v="4"/>
    <s v="No"/>
    <n v="1"/>
    <x v="3"/>
    <s v="Case handled by AG006"/>
    <s v="November"/>
    <n v="11"/>
    <s v="Q4"/>
    <s v="Low"/>
    <s v="No"/>
    <s v="OK"/>
  </r>
  <r>
    <s v="CC-10041"/>
    <x v="37"/>
    <s v="AG003"/>
    <x v="6"/>
    <x v="1"/>
    <x v="1"/>
    <s v="Email"/>
    <x v="1"/>
    <n v="9.6"/>
    <n v="6.8"/>
    <s v="Yes"/>
    <n v="3"/>
    <x v="2"/>
    <s v="No"/>
    <n v="0"/>
    <x v="0"/>
    <s v="Case handled by AG003"/>
    <s v="October"/>
    <n v="10"/>
    <s v="Q4"/>
    <s v="Low"/>
    <s v="No"/>
    <s v="OK"/>
  </r>
  <r>
    <s v="CC-10042"/>
    <x v="38"/>
    <s v="AG001"/>
    <x v="9"/>
    <x v="0"/>
    <x v="0"/>
    <s v="Chat"/>
    <x v="7"/>
    <n v="7.3"/>
    <n v="5.3"/>
    <s v="Yes"/>
    <n v="5"/>
    <x v="3"/>
    <s v="No"/>
    <n v="1"/>
    <x v="3"/>
    <s v="Case handled by AG001"/>
    <s v="October"/>
    <n v="10"/>
    <s v="Q4"/>
    <s v="Low"/>
    <s v="No"/>
    <s v="OK"/>
  </r>
  <r>
    <s v="CC-10043"/>
    <x v="35"/>
    <s v="AG008"/>
    <x v="5"/>
    <x v="1"/>
    <x v="1"/>
    <s v="Email"/>
    <x v="6"/>
    <n v="10.1"/>
    <n v="0"/>
    <s v="Yes"/>
    <n v="5"/>
    <x v="0"/>
    <s v="No"/>
    <n v="0"/>
    <x v="4"/>
    <s v="Case handled by AG008"/>
    <s v="September"/>
    <n v="9"/>
    <s v="Q3"/>
    <s v="Medium"/>
    <s v="No"/>
    <s v="OK"/>
  </r>
  <r>
    <s v="CC-10044"/>
    <x v="39"/>
    <s v="AG005"/>
    <x v="7"/>
    <x v="0"/>
    <x v="0"/>
    <s v="Phone"/>
    <x v="7"/>
    <n v="8.3000000000000007"/>
    <n v="5.3"/>
    <s v="No"/>
    <n v="1"/>
    <x v="2"/>
    <s v="Yes"/>
    <n v="3"/>
    <x v="0"/>
    <s v="Case handled by AG005"/>
    <s v="April"/>
    <n v="4"/>
    <s v="Q2"/>
    <s v="Low"/>
    <s v="No"/>
    <s v="OK"/>
  </r>
  <r>
    <s v="CC-10045"/>
    <x v="40"/>
    <s v="AG010"/>
    <x v="4"/>
    <x v="2"/>
    <x v="2"/>
    <s v="Phone"/>
    <x v="3"/>
    <n v="9.6"/>
    <n v="6.9"/>
    <s v="Yes"/>
    <n v="4"/>
    <x v="2"/>
    <s v="No"/>
    <n v="0"/>
    <x v="1"/>
    <s v="Case handled by AG010"/>
    <s v="November"/>
    <n v="11"/>
    <s v="Q4"/>
    <s v="Low"/>
    <s v="No"/>
    <s v="OK"/>
  </r>
  <r>
    <s v="CC-10046"/>
    <x v="41"/>
    <s v="AG003"/>
    <x v="6"/>
    <x v="1"/>
    <x v="1"/>
    <s v="Chat"/>
    <x v="4"/>
    <n v="9.5"/>
    <n v="1.1000000000000001"/>
    <s v="Yes"/>
    <n v="4"/>
    <x v="2"/>
    <s v="No"/>
    <n v="0"/>
    <x v="2"/>
    <s v="Case handled by AG003"/>
    <s v="April"/>
    <n v="4"/>
    <s v="Q2"/>
    <s v="Low"/>
    <s v="No"/>
    <s v="OK"/>
  </r>
  <r>
    <s v="CC-10047"/>
    <x v="42"/>
    <s v="AG009"/>
    <x v="8"/>
    <x v="0"/>
    <x v="0"/>
    <s v="Chat"/>
    <x v="4"/>
    <n v="12"/>
    <n v="3.8"/>
    <s v="No"/>
    <n v="5"/>
    <x v="2"/>
    <s v="No"/>
    <n v="1"/>
    <x v="0"/>
    <s v="Case handled by AG009"/>
    <s v="December"/>
    <n v="12"/>
    <s v="Q4"/>
    <s v="Medium"/>
    <s v="No"/>
    <s v="OK"/>
  </r>
  <r>
    <s v="CC-10048"/>
    <x v="43"/>
    <s v="AG005"/>
    <x v="7"/>
    <x v="0"/>
    <x v="0"/>
    <s v="Phone"/>
    <x v="1"/>
    <n v="8.1"/>
    <n v="0.2"/>
    <s v="No"/>
    <n v="3"/>
    <x v="3"/>
    <s v="No"/>
    <n v="1"/>
    <x v="3"/>
    <s v="Case handled by AG005"/>
    <s v="August"/>
    <n v="8"/>
    <s v="Q3"/>
    <s v="Low"/>
    <s v="No"/>
    <s v="OK"/>
  </r>
  <r>
    <s v="CC-10049"/>
    <x v="44"/>
    <s v="AG006"/>
    <x v="3"/>
    <x v="2"/>
    <x v="2"/>
    <s v="Phone"/>
    <x v="3"/>
    <n v="6.4"/>
    <n v="6.3"/>
    <s v="Yes"/>
    <n v="3"/>
    <x v="2"/>
    <s v="No"/>
    <n v="1"/>
    <x v="1"/>
    <s v="Case handled by AG006"/>
    <s v="May"/>
    <n v="5"/>
    <s v="Q2"/>
    <s v="Low"/>
    <s v="No"/>
    <s v="OK"/>
  </r>
  <r>
    <s v="CC-10050"/>
    <x v="45"/>
    <s v="AG006"/>
    <x v="3"/>
    <x v="2"/>
    <x v="2"/>
    <s v="Chat"/>
    <x v="7"/>
    <n v="5"/>
    <n v="3.5"/>
    <s v="No"/>
    <n v="3"/>
    <x v="0"/>
    <s v="Yes"/>
    <n v="0"/>
    <x v="0"/>
    <s v="Case handled by AG006"/>
    <s v="July"/>
    <n v="7"/>
    <s v="Q3"/>
    <s v="Low"/>
    <s v="No"/>
    <s v="OK"/>
  </r>
  <r>
    <s v="CC-10051"/>
    <x v="46"/>
    <s v="AG005"/>
    <x v="7"/>
    <x v="0"/>
    <x v="0"/>
    <s v="Email"/>
    <x v="5"/>
    <n v="8.1"/>
    <n v="0.1"/>
    <s v="Yes"/>
    <n v="5"/>
    <x v="2"/>
    <s v="No"/>
    <n v="1"/>
    <x v="0"/>
    <s v="Case handled by AG005"/>
    <s v="January"/>
    <n v="1"/>
    <s v="Q1"/>
    <s v="Low"/>
    <s v="Yes"/>
    <s v="OK"/>
  </r>
  <r>
    <s v="CC-10052"/>
    <x v="47"/>
    <s v="AG005"/>
    <x v="7"/>
    <x v="0"/>
    <x v="0"/>
    <s v="Chat"/>
    <x v="4"/>
    <n v="7.3"/>
    <n v="4.2"/>
    <s v="Yes"/>
    <n v="4"/>
    <x v="1"/>
    <s v="No"/>
    <n v="1"/>
    <x v="1"/>
    <s v="Case handled by AG005"/>
    <s v="April"/>
    <n v="4"/>
    <s v="Q2"/>
    <s v="Low"/>
    <s v="No"/>
    <s v="OK"/>
  </r>
  <r>
    <s v="CC-10053"/>
    <x v="48"/>
    <s v="AG001"/>
    <x v="9"/>
    <x v="0"/>
    <x v="0"/>
    <s v="Phone"/>
    <x v="7"/>
    <n v="11.3"/>
    <n v="2.5"/>
    <s v="Yes"/>
    <n v="5"/>
    <x v="3"/>
    <s v="No"/>
    <n v="0"/>
    <x v="3"/>
    <s v="Case handled by AG001"/>
    <s v="September"/>
    <n v="9"/>
    <s v="Q3"/>
    <s v="Medium"/>
    <s v="No"/>
    <s v="OK"/>
  </r>
  <r>
    <s v="CC-10054"/>
    <x v="49"/>
    <s v="AG005"/>
    <x v="7"/>
    <x v="0"/>
    <x v="0"/>
    <s v="Chat"/>
    <x v="1"/>
    <n v="6.5"/>
    <n v="4.9000000000000004"/>
    <s v="Yes"/>
    <n v="4"/>
    <x v="0"/>
    <s v="No"/>
    <n v="1"/>
    <x v="4"/>
    <s v="Case handled by AG005"/>
    <s v="January"/>
    <n v="1"/>
    <s v="Q1"/>
    <s v="Low"/>
    <s v="No"/>
    <s v="OK"/>
  </r>
  <r>
    <s v="CC-10055"/>
    <x v="50"/>
    <s v="AG001"/>
    <x v="9"/>
    <x v="0"/>
    <x v="0"/>
    <s v="Phone"/>
    <x v="0"/>
    <n v="8"/>
    <n v="3.3"/>
    <s v="Yes"/>
    <n v="5"/>
    <x v="3"/>
    <s v="No"/>
    <n v="0"/>
    <x v="2"/>
    <s v="Case handled by AG001"/>
    <s v="August"/>
    <n v="8"/>
    <s v="Q3"/>
    <s v="Low"/>
    <s v="No"/>
    <s v="OK"/>
  </r>
  <r>
    <s v="CC-10056"/>
    <x v="51"/>
    <s v="AG001"/>
    <x v="9"/>
    <x v="0"/>
    <x v="0"/>
    <s v="Phone"/>
    <x v="7"/>
    <n v="6.4"/>
    <n v="3"/>
    <s v="Yes"/>
    <n v="4"/>
    <x v="4"/>
    <s v="No"/>
    <n v="0"/>
    <x v="0"/>
    <s v="Case handled by AG001"/>
    <s v="April"/>
    <n v="4"/>
    <s v="Q2"/>
    <s v="Low"/>
    <s v="No"/>
    <s v="OK"/>
  </r>
  <r>
    <s v="CC-10057"/>
    <x v="52"/>
    <s v="AG003"/>
    <x v="6"/>
    <x v="1"/>
    <x v="1"/>
    <s v="Phone"/>
    <x v="0"/>
    <n v="1.9"/>
    <n v="0.8"/>
    <s v="Yes"/>
    <n v="5"/>
    <x v="4"/>
    <s v="No"/>
    <n v="0"/>
    <x v="4"/>
    <s v="Case handled by AG003"/>
    <s v="July"/>
    <n v="7"/>
    <s v="Q3"/>
    <s v="Low"/>
    <s v="No"/>
    <s v="OK"/>
  </r>
  <r>
    <s v="CC-10058"/>
    <x v="53"/>
    <s v="AG007"/>
    <x v="2"/>
    <x v="2"/>
    <x v="2"/>
    <s v="Phone"/>
    <x v="3"/>
    <n v="4.2"/>
    <n v="5.9"/>
    <s v="No"/>
    <n v="2"/>
    <x v="1"/>
    <s v="No"/>
    <n v="0"/>
    <x v="2"/>
    <s v="Case handled by AG007"/>
    <s v="October"/>
    <n v="10"/>
    <s v="Q4"/>
    <s v="Low"/>
    <s v="No"/>
    <s v="OK"/>
  </r>
  <r>
    <s v="CC-10059"/>
    <x v="54"/>
    <s v="AG006"/>
    <x v="3"/>
    <x v="2"/>
    <x v="2"/>
    <s v="Chat"/>
    <x v="3"/>
    <n v="3.7"/>
    <n v="3.4"/>
    <s v="No"/>
    <n v="2"/>
    <x v="2"/>
    <s v="No"/>
    <n v="0"/>
    <x v="3"/>
    <s v="Case handled by AG006"/>
    <s v="January"/>
    <n v="1"/>
    <s v="Q1"/>
    <s v="Low"/>
    <s v="No"/>
    <s v="OK"/>
  </r>
  <r>
    <s v="CC-10060"/>
    <x v="55"/>
    <s v="AG008"/>
    <x v="5"/>
    <x v="1"/>
    <x v="1"/>
    <s v="Email"/>
    <x v="7"/>
    <n v="7.1"/>
    <n v="1.9"/>
    <s v="Yes"/>
    <n v="5"/>
    <x v="2"/>
    <s v="No"/>
    <n v="1"/>
    <x v="0"/>
    <s v="Case handled by AG008"/>
    <s v="July"/>
    <n v="7"/>
    <s v="Q3"/>
    <s v="Low"/>
    <s v="No"/>
    <s v="OK"/>
  </r>
  <r>
    <s v="CC-10061"/>
    <x v="56"/>
    <s v="AG010"/>
    <x v="4"/>
    <x v="2"/>
    <x v="2"/>
    <s v="Chat"/>
    <x v="5"/>
    <n v="7.3"/>
    <n v="7.9"/>
    <s v="Yes"/>
    <n v="5"/>
    <x v="2"/>
    <s v="No"/>
    <n v="0"/>
    <x v="4"/>
    <s v="Case handled by AG010"/>
    <s v="August"/>
    <n v="8"/>
    <s v="Q3"/>
    <s v="Low"/>
    <s v="No"/>
    <s v="OK"/>
  </r>
  <r>
    <s v="CC-10062"/>
    <x v="57"/>
    <s v="AG010"/>
    <x v="4"/>
    <x v="2"/>
    <x v="2"/>
    <s v="Chat"/>
    <x v="5"/>
    <n v="6.7"/>
    <n v="2.4"/>
    <s v="Yes"/>
    <n v="4"/>
    <x v="4"/>
    <s v="No"/>
    <n v="1"/>
    <x v="1"/>
    <s v="Case handled by AG010"/>
    <s v="October"/>
    <n v="10"/>
    <s v="Q4"/>
    <s v="Low"/>
    <s v="No"/>
    <s v="OK"/>
  </r>
  <r>
    <s v="CC-10063"/>
    <x v="58"/>
    <s v="AG006"/>
    <x v="3"/>
    <x v="2"/>
    <x v="2"/>
    <s v="Phone"/>
    <x v="3"/>
    <n v="7.3"/>
    <n v="6.6"/>
    <s v="Yes"/>
    <n v="5"/>
    <x v="3"/>
    <s v="No"/>
    <n v="0"/>
    <x v="0"/>
    <s v="Case handled by AG006"/>
    <s v="May"/>
    <n v="5"/>
    <s v="Q2"/>
    <s v="Low"/>
    <s v="No"/>
    <s v="OK"/>
  </r>
  <r>
    <s v="CC-10064"/>
    <x v="59"/>
    <s v="AG008"/>
    <x v="5"/>
    <x v="1"/>
    <x v="1"/>
    <s v="Phone"/>
    <x v="3"/>
    <n v="5.9"/>
    <n v="3.5"/>
    <s v="Yes"/>
    <n v="4"/>
    <x v="4"/>
    <s v="No"/>
    <n v="1"/>
    <x v="3"/>
    <s v="Case handled by AG008"/>
    <s v="July"/>
    <n v="7"/>
    <s v="Q3"/>
    <s v="Low"/>
    <s v="No"/>
    <s v="OK"/>
  </r>
  <r>
    <s v="CC-10065"/>
    <x v="60"/>
    <s v="AG007"/>
    <x v="2"/>
    <x v="2"/>
    <x v="2"/>
    <s v="Email"/>
    <x v="6"/>
    <n v="7.1"/>
    <n v="2.4"/>
    <s v="Yes"/>
    <n v="4"/>
    <x v="2"/>
    <s v="No"/>
    <n v="1"/>
    <x v="0"/>
    <s v="Case handled by AG007"/>
    <s v="April"/>
    <n v="4"/>
    <s v="Q2"/>
    <s v="Low"/>
    <s v="No"/>
    <s v="OK"/>
  </r>
  <r>
    <s v="CC-10066"/>
    <x v="61"/>
    <s v="AG006"/>
    <x v="3"/>
    <x v="2"/>
    <x v="2"/>
    <s v="Phone"/>
    <x v="6"/>
    <n v="6"/>
    <n v="5.8"/>
    <s v="Yes"/>
    <n v="4"/>
    <x v="0"/>
    <s v="No"/>
    <n v="0"/>
    <x v="2"/>
    <s v="Case handled by AG006"/>
    <s v="October"/>
    <n v="10"/>
    <s v="Q4"/>
    <s v="Low"/>
    <s v="No"/>
    <s v="OK"/>
  </r>
  <r>
    <s v="CC-10067"/>
    <x v="62"/>
    <s v="AG003"/>
    <x v="6"/>
    <x v="1"/>
    <x v="1"/>
    <s v="Phone"/>
    <x v="6"/>
    <n v="9.8000000000000007"/>
    <n v="7.1"/>
    <s v="No"/>
    <n v="3"/>
    <x v="3"/>
    <s v="No"/>
    <n v="0"/>
    <x v="4"/>
    <s v="Case handled by AG003"/>
    <s v="October"/>
    <n v="10"/>
    <s v="Q4"/>
    <s v="Low"/>
    <s v="No"/>
    <s v="OK"/>
  </r>
  <r>
    <s v="CC-10068"/>
    <x v="63"/>
    <s v="AG001"/>
    <x v="9"/>
    <x v="0"/>
    <x v="0"/>
    <s v="Chat"/>
    <x v="3"/>
    <n v="7.6"/>
    <n v="3"/>
    <s v="No"/>
    <n v="1"/>
    <x v="0"/>
    <s v="Yes"/>
    <n v="2"/>
    <x v="1"/>
    <s v="Case handled by AG001"/>
    <s v="June"/>
    <n v="6"/>
    <s v="Q2"/>
    <s v="Low"/>
    <s v="No"/>
    <s v="OK"/>
  </r>
  <r>
    <s v="CC-10069"/>
    <x v="64"/>
    <s v="AG005"/>
    <x v="7"/>
    <x v="0"/>
    <x v="0"/>
    <s v="Phone"/>
    <x v="3"/>
    <n v="4.8"/>
    <n v="4.4000000000000004"/>
    <s v="Yes"/>
    <n v="3"/>
    <x v="2"/>
    <s v="No"/>
    <n v="1"/>
    <x v="3"/>
    <s v="Case handled by AG005"/>
    <s v="October"/>
    <n v="10"/>
    <s v="Q4"/>
    <s v="Low"/>
    <s v="No"/>
    <s v="OK"/>
  </r>
  <r>
    <s v="CC-10070"/>
    <x v="65"/>
    <s v="AG002"/>
    <x v="0"/>
    <x v="0"/>
    <x v="0"/>
    <s v="Email"/>
    <x v="2"/>
    <n v="4"/>
    <n v="2.6"/>
    <s v="No"/>
    <n v="3"/>
    <x v="1"/>
    <s v="Yes"/>
    <n v="1"/>
    <x v="2"/>
    <s v="Case handled by AG002"/>
    <s v="September"/>
    <n v="9"/>
    <s v="Q3"/>
    <s v="Low"/>
    <s v="No"/>
    <s v="OK"/>
  </r>
  <r>
    <s v="CC-10071"/>
    <x v="66"/>
    <s v="AG010"/>
    <x v="4"/>
    <x v="2"/>
    <x v="2"/>
    <s v="Email"/>
    <x v="2"/>
    <n v="7.6041237113402103"/>
    <n v="6.4"/>
    <s v="Yes"/>
    <n v="4"/>
    <x v="4"/>
    <s v="No"/>
    <n v="1"/>
    <x v="4"/>
    <s v="Case handled by AG010"/>
    <s v="November"/>
    <n v="11"/>
    <s v="Q4"/>
    <s v="Low"/>
    <s v="No"/>
    <s v="OK"/>
  </r>
  <r>
    <s v="CC-10072"/>
    <x v="57"/>
    <s v="AG010"/>
    <x v="4"/>
    <x v="2"/>
    <x v="2"/>
    <s v="Phone"/>
    <x v="4"/>
    <n v="15.1"/>
    <n v="5.9"/>
    <s v="No"/>
    <n v="2"/>
    <x v="3"/>
    <s v="No"/>
    <n v="0"/>
    <x v="4"/>
    <s v="Case handled by AG010"/>
    <s v="October"/>
    <n v="10"/>
    <s v="Q4"/>
    <s v="Medium"/>
    <s v="No"/>
    <s v="OK"/>
  </r>
  <r>
    <s v="CC-10073"/>
    <x v="67"/>
    <s v="AG009"/>
    <x v="8"/>
    <x v="0"/>
    <x v="0"/>
    <s v="Phone"/>
    <x v="5"/>
    <n v="8.1999999999999993"/>
    <n v="4.0999999999999996"/>
    <s v="Yes"/>
    <n v="4"/>
    <x v="4"/>
    <s v="No"/>
    <n v="1"/>
    <x v="4"/>
    <s v="Case handled by AG009"/>
    <s v="March"/>
    <n v="3"/>
    <s v="Q1"/>
    <s v="Low"/>
    <s v="No"/>
    <s v="OK"/>
  </r>
  <r>
    <s v="CC-10074"/>
    <x v="68"/>
    <s v="AG005"/>
    <x v="7"/>
    <x v="0"/>
    <x v="0"/>
    <s v="Phone"/>
    <x v="2"/>
    <n v="7"/>
    <n v="1.9"/>
    <s v="Yes"/>
    <n v="5"/>
    <x v="0"/>
    <s v="No"/>
    <n v="1"/>
    <x v="0"/>
    <s v="Case handled by AG005"/>
    <s v="December"/>
    <n v="12"/>
    <s v="Q4"/>
    <s v="Low"/>
    <s v="No"/>
    <s v="OK"/>
  </r>
  <r>
    <s v="CC-10075"/>
    <x v="69"/>
    <s v="AG004"/>
    <x v="1"/>
    <x v="1"/>
    <x v="1"/>
    <s v="Phone"/>
    <x v="1"/>
    <n v="4.0999999999999996"/>
    <n v="0.5"/>
    <s v="Yes"/>
    <n v="5"/>
    <x v="1"/>
    <s v="No"/>
    <n v="0"/>
    <x v="2"/>
    <s v="Case handled by AG004"/>
    <s v="October"/>
    <n v="10"/>
    <s v="Q4"/>
    <s v="Low"/>
    <s v="No"/>
    <s v="OK"/>
  </r>
  <r>
    <s v="CC-10076"/>
    <x v="57"/>
    <s v="AG005"/>
    <x v="7"/>
    <x v="0"/>
    <x v="0"/>
    <s v="Email"/>
    <x v="7"/>
    <n v="4.9000000000000004"/>
    <n v="4.8"/>
    <s v="Yes"/>
    <n v="4"/>
    <x v="2"/>
    <s v="No"/>
    <n v="1"/>
    <x v="4"/>
    <s v="Case handled by AG005"/>
    <s v="October"/>
    <n v="10"/>
    <s v="Q4"/>
    <s v="Low"/>
    <s v="No"/>
    <s v="OK"/>
  </r>
  <r>
    <s v="CC-10077"/>
    <x v="70"/>
    <s v="AG010"/>
    <x v="4"/>
    <x v="2"/>
    <x v="2"/>
    <s v="Phone"/>
    <x v="5"/>
    <n v="11.1"/>
    <n v="4.5"/>
    <s v="Yes"/>
    <n v="4"/>
    <x v="1"/>
    <s v="No"/>
    <n v="1"/>
    <x v="2"/>
    <s v="Case handled by AG010"/>
    <s v="February"/>
    <n v="2"/>
    <s v="Q1"/>
    <s v="Medium"/>
    <s v="No"/>
    <s v="OK"/>
  </r>
  <r>
    <s v="CC-10078"/>
    <x v="71"/>
    <s v="AG001"/>
    <x v="9"/>
    <x v="0"/>
    <x v="0"/>
    <s v="Email"/>
    <x v="7"/>
    <n v="12.5"/>
    <n v="4"/>
    <s v="Yes"/>
    <n v="3"/>
    <x v="4"/>
    <s v="No"/>
    <n v="0"/>
    <x v="3"/>
    <s v="Case handled by AG001"/>
    <s v="October"/>
    <n v="10"/>
    <s v="Q4"/>
    <s v="Medium"/>
    <s v="No"/>
    <s v="OK"/>
  </r>
  <r>
    <s v="CC-10079"/>
    <x v="72"/>
    <s v="AG010"/>
    <x v="4"/>
    <x v="2"/>
    <x v="2"/>
    <s v="Chat"/>
    <x v="6"/>
    <n v="2.9"/>
    <n v="5.4"/>
    <s v="Yes"/>
    <n v="5"/>
    <x v="4"/>
    <s v="No"/>
    <n v="1"/>
    <x v="4"/>
    <s v="Case handled by AG010"/>
    <s v="April"/>
    <n v="4"/>
    <s v="Q2"/>
    <s v="Low"/>
    <s v="No"/>
    <s v="OK"/>
  </r>
  <r>
    <s v="CC-10080"/>
    <x v="73"/>
    <s v="AG002"/>
    <x v="0"/>
    <x v="0"/>
    <x v="0"/>
    <s v="Email"/>
    <x v="0"/>
    <n v="9.6999999999999993"/>
    <n v="2.6"/>
    <s v="Yes"/>
    <n v="5"/>
    <x v="2"/>
    <s v="No"/>
    <n v="1"/>
    <x v="3"/>
    <s v="Case handled by AG002"/>
    <s v="December"/>
    <n v="12"/>
    <s v="Q4"/>
    <s v="Low"/>
    <s v="No"/>
    <s v="OK"/>
  </r>
  <r>
    <s v="CC-10081"/>
    <x v="74"/>
    <s v="AG006"/>
    <x v="3"/>
    <x v="2"/>
    <x v="2"/>
    <s v="Chat"/>
    <x v="2"/>
    <n v="8"/>
    <n v="5"/>
    <s v="Yes"/>
    <n v="3"/>
    <x v="0"/>
    <s v="No"/>
    <n v="0"/>
    <x v="0"/>
    <s v="Case handled by AG006"/>
    <s v="February"/>
    <n v="2"/>
    <s v="Q1"/>
    <s v="Low"/>
    <s v="No"/>
    <s v="OK"/>
  </r>
  <r>
    <s v="CC-10082"/>
    <x v="75"/>
    <s v="AG009"/>
    <x v="8"/>
    <x v="0"/>
    <x v="0"/>
    <s v="Phone"/>
    <x v="4"/>
    <n v="4.7"/>
    <n v="6.6"/>
    <s v="Yes"/>
    <n v="4"/>
    <x v="4"/>
    <s v="No"/>
    <n v="0"/>
    <x v="1"/>
    <s v="Case handled by AG009"/>
    <s v="April"/>
    <n v="4"/>
    <s v="Q2"/>
    <s v="Low"/>
    <s v="No"/>
    <s v="OK"/>
  </r>
  <r>
    <s v="CC-10083"/>
    <x v="76"/>
    <s v="AG008"/>
    <x v="5"/>
    <x v="1"/>
    <x v="1"/>
    <s v="Email"/>
    <x v="0"/>
    <n v="13.8"/>
    <n v="7.7"/>
    <s v="Yes"/>
    <n v="4"/>
    <x v="1"/>
    <s v="No"/>
    <n v="0"/>
    <x v="4"/>
    <s v="Case handled by AG008"/>
    <s v="August"/>
    <n v="8"/>
    <s v="Q3"/>
    <s v="Medium"/>
    <s v="No"/>
    <s v="OK"/>
  </r>
  <r>
    <s v="CC-10084"/>
    <x v="59"/>
    <s v="AG002"/>
    <x v="0"/>
    <x v="0"/>
    <x v="0"/>
    <s v="Phone"/>
    <x v="1"/>
    <n v="8.9"/>
    <n v="7.8"/>
    <s v="No"/>
    <n v="2"/>
    <x v="2"/>
    <s v="No"/>
    <n v="0"/>
    <x v="3"/>
    <s v="Case handled by AG002"/>
    <s v="July"/>
    <n v="7"/>
    <s v="Q3"/>
    <s v="Low"/>
    <s v="No"/>
    <s v="OK"/>
  </r>
  <r>
    <s v="CC-10085"/>
    <x v="77"/>
    <s v="AG008"/>
    <x v="5"/>
    <x v="1"/>
    <x v="1"/>
    <s v="Phone"/>
    <x v="2"/>
    <n v="8.1"/>
    <n v="6.5"/>
    <s v="Yes"/>
    <n v="4"/>
    <x v="4"/>
    <s v="No"/>
    <n v="0"/>
    <x v="2"/>
    <s v="Case handled by AG008"/>
    <s v="September"/>
    <n v="9"/>
    <s v="Q3"/>
    <s v="Low"/>
    <s v="No"/>
    <s v="OK"/>
  </r>
  <r>
    <s v="CC-10086"/>
    <x v="78"/>
    <s v="AG005"/>
    <x v="7"/>
    <x v="0"/>
    <x v="0"/>
    <s v="Chat"/>
    <x v="7"/>
    <n v="9"/>
    <n v="2.5"/>
    <s v="Yes"/>
    <n v="4"/>
    <x v="4"/>
    <s v="No"/>
    <n v="1"/>
    <x v="1"/>
    <s v="Case handled by AG005"/>
    <s v="September"/>
    <n v="9"/>
    <s v="Q3"/>
    <s v="Low"/>
    <s v="No"/>
    <s v="OK"/>
  </r>
  <r>
    <s v="CC-10087"/>
    <x v="79"/>
    <s v="AG009"/>
    <x v="8"/>
    <x v="0"/>
    <x v="0"/>
    <s v="Email"/>
    <x v="2"/>
    <n v="8.1999999999999993"/>
    <n v="2.1"/>
    <s v="Yes"/>
    <n v="5"/>
    <x v="3"/>
    <s v="No"/>
    <n v="0"/>
    <x v="1"/>
    <s v="Case handled by AG009"/>
    <s v="June"/>
    <n v="6"/>
    <s v="Q2"/>
    <s v="Low"/>
    <s v="No"/>
    <s v="OK"/>
  </r>
  <r>
    <s v="CC-10088"/>
    <x v="80"/>
    <s v="AG001"/>
    <x v="9"/>
    <x v="0"/>
    <x v="0"/>
    <s v="Phone"/>
    <x v="7"/>
    <n v="6.6"/>
    <n v="6.1"/>
    <s v="Yes"/>
    <n v="5"/>
    <x v="0"/>
    <s v="No"/>
    <n v="1"/>
    <x v="3"/>
    <s v="Case handled by AG001"/>
    <s v="July"/>
    <n v="7"/>
    <s v="Q3"/>
    <s v="Low"/>
    <s v="No"/>
    <s v="OK"/>
  </r>
  <r>
    <s v="CC-10089"/>
    <x v="81"/>
    <s v="AG009"/>
    <x v="8"/>
    <x v="0"/>
    <x v="0"/>
    <s v="Chat"/>
    <x v="0"/>
    <n v="10.6"/>
    <n v="3.6"/>
    <s v="No"/>
    <n v="2"/>
    <x v="3"/>
    <s v="No"/>
    <n v="0"/>
    <x v="0"/>
    <s v="Case handled by AG009"/>
    <s v="March"/>
    <n v="3"/>
    <s v="Q1"/>
    <s v="Medium"/>
    <s v="No"/>
    <s v="OK"/>
  </r>
  <r>
    <s v="CC-10090"/>
    <x v="82"/>
    <s v="AG003"/>
    <x v="6"/>
    <x v="1"/>
    <x v="1"/>
    <s v="Chat"/>
    <x v="6"/>
    <n v="12.7"/>
    <n v="5.6"/>
    <s v="No"/>
    <n v="3"/>
    <x v="2"/>
    <s v="No"/>
    <n v="1"/>
    <x v="0"/>
    <s v="Case handled by AG003"/>
    <s v="July"/>
    <n v="7"/>
    <s v="Q3"/>
    <s v="Medium"/>
    <s v="No"/>
    <s v="OK"/>
  </r>
  <r>
    <s v="CC-10091"/>
    <x v="83"/>
    <s v="AG001"/>
    <x v="9"/>
    <x v="0"/>
    <x v="0"/>
    <s v="Phone"/>
    <x v="2"/>
    <n v="6.4"/>
    <n v="3"/>
    <s v="Yes"/>
    <n v="5"/>
    <x v="0"/>
    <s v="No"/>
    <n v="1"/>
    <x v="1"/>
    <s v="Case handled by AG001"/>
    <s v="October"/>
    <n v="10"/>
    <s v="Q4"/>
    <s v="Low"/>
    <s v="No"/>
    <s v="OK"/>
  </r>
  <r>
    <s v="CC-10092"/>
    <x v="84"/>
    <s v="AG002"/>
    <x v="0"/>
    <x v="0"/>
    <x v="0"/>
    <s v="Phone"/>
    <x v="1"/>
    <n v="3.7"/>
    <n v="5.0999999999999996"/>
    <s v="Yes"/>
    <n v="5"/>
    <x v="4"/>
    <s v="No"/>
    <n v="0"/>
    <x v="4"/>
    <s v="Case handled by AG002"/>
    <s v="November"/>
    <n v="11"/>
    <s v="Q4"/>
    <s v="Low"/>
    <s v="No"/>
    <s v="OK"/>
  </r>
  <r>
    <s v="CC-10093"/>
    <x v="85"/>
    <s v="AG007"/>
    <x v="2"/>
    <x v="2"/>
    <x v="2"/>
    <s v="Phone"/>
    <x v="3"/>
    <n v="10.3"/>
    <n v="6"/>
    <s v="Yes"/>
    <n v="4"/>
    <x v="1"/>
    <s v="No"/>
    <n v="0"/>
    <x v="1"/>
    <s v="Case handled by AG007"/>
    <s v="July"/>
    <n v="7"/>
    <s v="Q3"/>
    <s v="Medium"/>
    <s v="No"/>
    <s v="OK"/>
  </r>
  <r>
    <s v="CC-10094"/>
    <x v="86"/>
    <s v="AG010"/>
    <x v="4"/>
    <x v="2"/>
    <x v="2"/>
    <s v="Phone"/>
    <x v="7"/>
    <n v="6.6"/>
    <n v="1.9"/>
    <s v="Yes"/>
    <n v="4"/>
    <x v="4"/>
    <s v="No"/>
    <n v="0"/>
    <x v="3"/>
    <s v="Case handled by AG010"/>
    <s v="July"/>
    <n v="7"/>
    <s v="Q3"/>
    <s v="Low"/>
    <s v="No"/>
    <s v="OK"/>
  </r>
  <r>
    <s v="CC-10095"/>
    <x v="87"/>
    <s v="AG001"/>
    <x v="9"/>
    <x v="0"/>
    <x v="0"/>
    <s v="Chat"/>
    <x v="6"/>
    <n v="10.7"/>
    <n v="2.7"/>
    <s v="Yes"/>
    <n v="4"/>
    <x v="1"/>
    <s v="No"/>
    <n v="0"/>
    <x v="2"/>
    <s v="Case handled by AG001"/>
    <s v="December"/>
    <n v="12"/>
    <s v="Q4"/>
    <s v="Medium"/>
    <s v="No"/>
    <s v="OK"/>
  </r>
  <r>
    <s v="CC-10096"/>
    <x v="88"/>
    <s v="AG007"/>
    <x v="2"/>
    <x v="2"/>
    <x v="2"/>
    <s v="Phone"/>
    <x v="5"/>
    <n v="6.8"/>
    <n v="1.9"/>
    <s v="Yes"/>
    <n v="4"/>
    <x v="2"/>
    <s v="No"/>
    <n v="1"/>
    <x v="3"/>
    <s v="Case handled by AG007"/>
    <s v="June"/>
    <n v="6"/>
    <s v="Q2"/>
    <s v="Low"/>
    <s v="No"/>
    <s v="OK"/>
  </r>
  <r>
    <s v="CC-10097"/>
    <x v="89"/>
    <s v="AG006"/>
    <x v="3"/>
    <x v="2"/>
    <x v="2"/>
    <s v="Phone"/>
    <x v="0"/>
    <n v="1"/>
    <n v="1.2"/>
    <s v="Yes"/>
    <n v="4"/>
    <x v="1"/>
    <s v="No"/>
    <n v="1"/>
    <x v="4"/>
    <s v="Case handled by AG006"/>
    <s v="October"/>
    <n v="10"/>
    <s v="Q4"/>
    <s v="Low"/>
    <s v="No"/>
    <s v="OK"/>
  </r>
  <r>
    <s v="CC-10098"/>
    <x v="90"/>
    <s v="AG005"/>
    <x v="7"/>
    <x v="0"/>
    <x v="0"/>
    <s v="Email"/>
    <x v="1"/>
    <n v="8.3000000000000007"/>
    <n v="2.6"/>
    <s v="Yes"/>
    <n v="5"/>
    <x v="3"/>
    <s v="No"/>
    <n v="0"/>
    <x v="1"/>
    <s v="Case handled by AG005"/>
    <s v="September"/>
    <n v="9"/>
    <s v="Q3"/>
    <s v="Low"/>
    <s v="No"/>
    <s v="OK"/>
  </r>
  <r>
    <s v="CC-10099"/>
    <x v="91"/>
    <s v="AG002"/>
    <x v="0"/>
    <x v="0"/>
    <x v="0"/>
    <s v="Email"/>
    <x v="6"/>
    <n v="11.6"/>
    <n v="2.4"/>
    <s v="Yes"/>
    <n v="4"/>
    <x v="3"/>
    <s v="No"/>
    <n v="1"/>
    <x v="2"/>
    <s v="Case handled by AG002"/>
    <s v="November"/>
    <n v="11"/>
    <s v="Q4"/>
    <s v="Medium"/>
    <s v="No"/>
    <s v="OK"/>
  </r>
  <r>
    <s v="CC-10100"/>
    <x v="92"/>
    <s v="AG005"/>
    <x v="7"/>
    <x v="0"/>
    <x v="0"/>
    <s v="Phone"/>
    <x v="7"/>
    <n v="6.6"/>
    <n v="5.8"/>
    <s v="No"/>
    <n v="3"/>
    <x v="4"/>
    <s v="No"/>
    <n v="1"/>
    <x v="1"/>
    <s v="Case handled by AG005"/>
    <s v="February"/>
    <n v="2"/>
    <s v="Q1"/>
    <s v="Low"/>
    <s v="No"/>
    <s v="OK"/>
  </r>
  <r>
    <s v="CC-10101"/>
    <x v="46"/>
    <s v="AG002"/>
    <x v="0"/>
    <x v="0"/>
    <x v="0"/>
    <s v="Email"/>
    <x v="6"/>
    <n v="6.8"/>
    <n v="4.2"/>
    <s v="Yes"/>
    <n v="5"/>
    <x v="0"/>
    <s v="No"/>
    <n v="0"/>
    <x v="3"/>
    <s v="Case handled by AG002"/>
    <s v="January"/>
    <n v="1"/>
    <s v="Q1"/>
    <s v="Low"/>
    <s v="Yes"/>
    <s v="OK"/>
  </r>
  <r>
    <s v="CC-10102"/>
    <x v="93"/>
    <s v="AG001"/>
    <x v="9"/>
    <x v="0"/>
    <x v="0"/>
    <s v="Chat"/>
    <x v="6"/>
    <n v="7.9"/>
    <n v="5"/>
    <s v="Yes"/>
    <n v="4"/>
    <x v="0"/>
    <s v="No"/>
    <n v="1"/>
    <x v="0"/>
    <s v="Case handled by AG001"/>
    <s v="July"/>
    <n v="7"/>
    <s v="Q3"/>
    <s v="Low"/>
    <s v="No"/>
    <s v="OK"/>
  </r>
  <r>
    <s v="CC-10103"/>
    <x v="94"/>
    <s v="AG004"/>
    <x v="1"/>
    <x v="1"/>
    <x v="1"/>
    <s v="Phone"/>
    <x v="3"/>
    <n v="3.9"/>
    <n v="4.5"/>
    <s v="Yes"/>
    <n v="5"/>
    <x v="2"/>
    <s v="No"/>
    <n v="1"/>
    <x v="0"/>
    <s v="Case handled by AG004"/>
    <s v="December"/>
    <n v="12"/>
    <s v="Q4"/>
    <s v="Low"/>
    <s v="No"/>
    <s v="OK"/>
  </r>
  <r>
    <s v="CC-10104"/>
    <x v="95"/>
    <s v="AG005"/>
    <x v="7"/>
    <x v="0"/>
    <x v="0"/>
    <s v="Phone"/>
    <x v="5"/>
    <n v="7.1"/>
    <n v="3.2"/>
    <s v="No"/>
    <n v="1"/>
    <x v="1"/>
    <s v="Yes"/>
    <n v="3"/>
    <x v="2"/>
    <s v="Case handled by AG005"/>
    <s v="December"/>
    <n v="12"/>
    <s v="Q4"/>
    <s v="Low"/>
    <s v="No"/>
    <s v="OK"/>
  </r>
  <r>
    <s v="CC-10105"/>
    <x v="96"/>
    <s v="AG007"/>
    <x v="2"/>
    <x v="2"/>
    <x v="2"/>
    <s v="Phone"/>
    <x v="2"/>
    <n v="3.7"/>
    <n v="4.9000000000000004"/>
    <s v="Yes"/>
    <n v="5"/>
    <x v="0"/>
    <s v="No"/>
    <n v="1"/>
    <x v="0"/>
    <s v="Case handled by AG007"/>
    <s v="March"/>
    <n v="3"/>
    <s v="Q1"/>
    <s v="Low"/>
    <s v="No"/>
    <s v="OK"/>
  </r>
  <r>
    <s v="CC-10106"/>
    <x v="97"/>
    <s v="AG010"/>
    <x v="4"/>
    <x v="2"/>
    <x v="2"/>
    <s v="Phone"/>
    <x v="6"/>
    <n v="7.6041237113402103"/>
    <n v="6.7"/>
    <s v="No"/>
    <n v="1"/>
    <x v="0"/>
    <s v="Yes"/>
    <n v="3"/>
    <x v="3"/>
    <s v="Case handled by AG010"/>
    <s v="September"/>
    <n v="9"/>
    <s v="Q3"/>
    <s v="Low"/>
    <s v="No"/>
    <s v="OK"/>
  </r>
  <r>
    <s v="CC-10107"/>
    <x v="98"/>
    <s v="AG006"/>
    <x v="3"/>
    <x v="2"/>
    <x v="2"/>
    <s v="Phone"/>
    <x v="3"/>
    <n v="1"/>
    <n v="2.5"/>
    <s v="Yes"/>
    <n v="4"/>
    <x v="2"/>
    <s v="No"/>
    <n v="1"/>
    <x v="4"/>
    <s v="Case handled by AG006"/>
    <s v="December"/>
    <n v="12"/>
    <s v="Q4"/>
    <s v="Low"/>
    <s v="No"/>
    <s v="OK"/>
  </r>
  <r>
    <s v="CC-10108"/>
    <x v="92"/>
    <s v="AG004"/>
    <x v="1"/>
    <x v="1"/>
    <x v="1"/>
    <s v="Email"/>
    <x v="5"/>
    <n v="5.5"/>
    <n v="1.9"/>
    <s v="No"/>
    <n v="1"/>
    <x v="0"/>
    <s v="No"/>
    <n v="0"/>
    <x v="1"/>
    <s v="Case handled by AG004"/>
    <s v="February"/>
    <n v="2"/>
    <s v="Q1"/>
    <s v="Low"/>
    <s v="No"/>
    <s v="OK"/>
  </r>
  <r>
    <s v="CC-10109"/>
    <x v="99"/>
    <s v="AG004"/>
    <x v="1"/>
    <x v="1"/>
    <x v="1"/>
    <s v="Phone"/>
    <x v="4"/>
    <n v="3.3"/>
    <n v="2.1"/>
    <s v="Yes"/>
    <n v="3"/>
    <x v="1"/>
    <s v="No"/>
    <n v="0"/>
    <x v="4"/>
    <s v="Case handled by AG004"/>
    <s v="October"/>
    <n v="10"/>
    <s v="Q4"/>
    <s v="Low"/>
    <s v="No"/>
    <s v="OK"/>
  </r>
  <r>
    <s v="CC-10110"/>
    <x v="100"/>
    <s v="AG003"/>
    <x v="6"/>
    <x v="1"/>
    <x v="1"/>
    <s v="Phone"/>
    <x v="0"/>
    <n v="12.6"/>
    <n v="6.6"/>
    <s v="No"/>
    <n v="3"/>
    <x v="3"/>
    <s v="No"/>
    <n v="0"/>
    <x v="0"/>
    <s v="Case handled by AG003"/>
    <s v="May"/>
    <n v="5"/>
    <s v="Q2"/>
    <s v="Medium"/>
    <s v="No"/>
    <s v="OK"/>
  </r>
  <r>
    <s v="CC-10111"/>
    <x v="101"/>
    <s v="AG001"/>
    <x v="9"/>
    <x v="0"/>
    <x v="0"/>
    <s v="Email"/>
    <x v="3"/>
    <n v="10.199999999999999"/>
    <n v="5.5"/>
    <s v="No"/>
    <n v="2"/>
    <x v="2"/>
    <s v="Yes"/>
    <n v="3"/>
    <x v="4"/>
    <s v="Case handled by AG001"/>
    <s v="May"/>
    <n v="5"/>
    <s v="Q2"/>
    <s v="Medium"/>
    <s v="No"/>
    <s v="OK"/>
  </r>
  <r>
    <s v="CC-10112"/>
    <x v="102"/>
    <s v="AG004"/>
    <x v="1"/>
    <x v="1"/>
    <x v="1"/>
    <s v="Phone"/>
    <x v="0"/>
    <n v="8.8000000000000007"/>
    <n v="3.8"/>
    <s v="Yes"/>
    <n v="5"/>
    <x v="2"/>
    <s v="No"/>
    <n v="1"/>
    <x v="3"/>
    <s v="Case handled by AG004"/>
    <s v="September"/>
    <n v="9"/>
    <s v="Q3"/>
    <s v="Low"/>
    <s v="No"/>
    <s v="OK"/>
  </r>
  <r>
    <s v="CC-10113"/>
    <x v="103"/>
    <s v="AG007"/>
    <x v="2"/>
    <x v="2"/>
    <x v="2"/>
    <s v="Phone"/>
    <x v="4"/>
    <n v="6.6"/>
    <n v="1.9"/>
    <s v="Yes"/>
    <n v="5"/>
    <x v="0"/>
    <s v="No"/>
    <n v="0"/>
    <x v="2"/>
    <s v="Case handled by AG007"/>
    <s v="July"/>
    <n v="7"/>
    <s v="Q3"/>
    <s v="Low"/>
    <s v="No"/>
    <s v="OK"/>
  </r>
  <r>
    <s v="CC-10114"/>
    <x v="81"/>
    <s v="AG005"/>
    <x v="7"/>
    <x v="0"/>
    <x v="0"/>
    <s v="Email"/>
    <x v="1"/>
    <n v="5.2"/>
    <n v="2.1"/>
    <s v="Yes"/>
    <n v="5"/>
    <x v="2"/>
    <s v="No"/>
    <n v="1"/>
    <x v="0"/>
    <s v="Case handled by AG005"/>
    <s v="March"/>
    <n v="3"/>
    <s v="Q1"/>
    <s v="Low"/>
    <s v="No"/>
    <s v="OK"/>
  </r>
  <r>
    <s v="CC-10115"/>
    <x v="104"/>
    <s v="AG010"/>
    <x v="4"/>
    <x v="2"/>
    <x v="2"/>
    <s v="Chat"/>
    <x v="5"/>
    <n v="3.2"/>
    <n v="5.5"/>
    <s v="No"/>
    <n v="2"/>
    <x v="2"/>
    <s v="No"/>
    <n v="0"/>
    <x v="3"/>
    <s v="Case handled by AG010"/>
    <s v="September"/>
    <n v="9"/>
    <s v="Q3"/>
    <s v="Low"/>
    <s v="No"/>
    <s v="OK"/>
  </r>
  <r>
    <s v="CC-10116"/>
    <x v="105"/>
    <s v="AG008"/>
    <x v="5"/>
    <x v="1"/>
    <x v="1"/>
    <s v="Phone"/>
    <x v="4"/>
    <n v="4.0999999999999996"/>
    <n v="5.9"/>
    <s v="Yes"/>
    <n v="4"/>
    <x v="2"/>
    <s v="No"/>
    <n v="1"/>
    <x v="4"/>
    <s v="Case handled by AG008"/>
    <s v="June"/>
    <n v="6"/>
    <s v="Q2"/>
    <s v="Low"/>
    <s v="No"/>
    <s v="OK"/>
  </r>
  <r>
    <s v="CC-10117"/>
    <x v="106"/>
    <s v="AG002"/>
    <x v="0"/>
    <x v="0"/>
    <x v="0"/>
    <s v="Phone"/>
    <x v="6"/>
    <n v="8.6999999999999993"/>
    <n v="3.2"/>
    <s v="No"/>
    <n v="2"/>
    <x v="0"/>
    <s v="No"/>
    <n v="0"/>
    <x v="0"/>
    <s v="Case handled by AG002"/>
    <s v="February"/>
    <n v="2"/>
    <s v="Q1"/>
    <s v="Low"/>
    <s v="No"/>
    <s v="OK"/>
  </r>
  <r>
    <s v="CC-10118"/>
    <x v="80"/>
    <s v="AG006"/>
    <x v="3"/>
    <x v="2"/>
    <x v="2"/>
    <s v="Phone"/>
    <x v="6"/>
    <n v="13"/>
    <n v="0.6"/>
    <s v="Yes"/>
    <n v="4"/>
    <x v="0"/>
    <s v="No"/>
    <n v="1"/>
    <x v="0"/>
    <s v="Case handled by AG006"/>
    <s v="July"/>
    <n v="7"/>
    <s v="Q3"/>
    <s v="Medium"/>
    <s v="No"/>
    <s v="OK"/>
  </r>
  <r>
    <s v="CC-10119"/>
    <x v="107"/>
    <s v="AG009"/>
    <x v="8"/>
    <x v="0"/>
    <x v="0"/>
    <s v="Phone"/>
    <x v="3"/>
    <n v="9"/>
    <n v="6.8"/>
    <s v="Yes"/>
    <n v="3"/>
    <x v="4"/>
    <s v="No"/>
    <n v="1"/>
    <x v="0"/>
    <s v="Case handled by AG009"/>
    <s v="October"/>
    <n v="10"/>
    <s v="Q4"/>
    <s v="Low"/>
    <s v="No"/>
    <s v="OK"/>
  </r>
  <r>
    <s v="CC-10120"/>
    <x v="64"/>
    <s v="AG004"/>
    <x v="1"/>
    <x v="1"/>
    <x v="1"/>
    <s v="Phone"/>
    <x v="0"/>
    <n v="10"/>
    <n v="0.4"/>
    <s v="Yes"/>
    <n v="5"/>
    <x v="3"/>
    <s v="No"/>
    <n v="0"/>
    <x v="0"/>
    <s v="Case handled by AG004"/>
    <s v="October"/>
    <n v="10"/>
    <s v="Q4"/>
    <s v="Low"/>
    <s v="No"/>
    <s v="OK"/>
  </r>
  <r>
    <s v="CC-10121"/>
    <x v="108"/>
    <s v="AG005"/>
    <x v="7"/>
    <x v="0"/>
    <x v="0"/>
    <s v="Phone"/>
    <x v="0"/>
    <n v="10.5"/>
    <n v="3.1"/>
    <s v="Yes"/>
    <n v="3"/>
    <x v="0"/>
    <s v="No"/>
    <n v="1"/>
    <x v="2"/>
    <s v="Case handled by AG005"/>
    <s v="May"/>
    <n v="5"/>
    <s v="Q2"/>
    <s v="Medium"/>
    <s v="No"/>
    <s v="OK"/>
  </r>
  <r>
    <s v="CC-10122"/>
    <x v="109"/>
    <s v="AG004"/>
    <x v="1"/>
    <x v="1"/>
    <x v="1"/>
    <s v="Phone"/>
    <x v="4"/>
    <n v="5.7"/>
    <n v="5.5"/>
    <s v="No"/>
    <n v="3"/>
    <x v="1"/>
    <s v="No"/>
    <n v="0"/>
    <x v="2"/>
    <s v="Case handled by AG004"/>
    <s v="September"/>
    <n v="9"/>
    <s v="Q3"/>
    <s v="Low"/>
    <s v="No"/>
    <s v="OK"/>
  </r>
  <r>
    <s v="CC-10123"/>
    <x v="49"/>
    <s v="AG002"/>
    <x v="0"/>
    <x v="0"/>
    <x v="0"/>
    <s v="Phone"/>
    <x v="5"/>
    <n v="7.4"/>
    <n v="6.9"/>
    <s v="Yes"/>
    <n v="4"/>
    <x v="1"/>
    <s v="No"/>
    <n v="1"/>
    <x v="3"/>
    <s v="Case handled by AG002"/>
    <s v="January"/>
    <n v="1"/>
    <s v="Q1"/>
    <s v="Low"/>
    <s v="No"/>
    <s v="OK"/>
  </r>
  <r>
    <s v="CC-10124"/>
    <x v="110"/>
    <s v="AG006"/>
    <x v="3"/>
    <x v="2"/>
    <x v="2"/>
    <s v="Phone"/>
    <x v="0"/>
    <n v="5.8"/>
    <n v="4.7"/>
    <s v="Yes"/>
    <n v="5"/>
    <x v="3"/>
    <s v="No"/>
    <n v="1"/>
    <x v="0"/>
    <s v="Case handled by AG006"/>
    <s v="February"/>
    <n v="2"/>
    <s v="Q1"/>
    <s v="Low"/>
    <s v="No"/>
    <s v="OK"/>
  </r>
  <r>
    <s v="CC-10125"/>
    <x v="93"/>
    <s v="AG010"/>
    <x v="4"/>
    <x v="2"/>
    <x v="2"/>
    <s v="Phone"/>
    <x v="6"/>
    <n v="9.9"/>
    <n v="4.5"/>
    <s v="Yes"/>
    <n v="5"/>
    <x v="0"/>
    <s v="No"/>
    <n v="0"/>
    <x v="4"/>
    <s v="Case handled by AG010"/>
    <s v="July"/>
    <n v="7"/>
    <s v="Q3"/>
    <s v="Low"/>
    <s v="No"/>
    <s v="OK"/>
  </r>
  <r>
    <s v="CC-10126"/>
    <x v="111"/>
    <s v="AG008"/>
    <x v="5"/>
    <x v="1"/>
    <x v="1"/>
    <s v="Email"/>
    <x v="6"/>
    <n v="8"/>
    <n v="2.8"/>
    <s v="Yes"/>
    <n v="4"/>
    <x v="0"/>
    <s v="No"/>
    <n v="0"/>
    <x v="0"/>
    <s v="Case handled by AG008"/>
    <s v="January"/>
    <n v="1"/>
    <s v="Q1"/>
    <s v="Low"/>
    <s v="No"/>
    <s v="OK"/>
  </r>
  <r>
    <s v="CC-10127"/>
    <x v="112"/>
    <s v="AG001"/>
    <x v="9"/>
    <x v="0"/>
    <x v="0"/>
    <s v="Chat"/>
    <x v="2"/>
    <n v="4.9000000000000004"/>
    <n v="4.9000000000000004"/>
    <s v="No"/>
    <n v="2"/>
    <x v="4"/>
    <s v="Yes"/>
    <n v="3"/>
    <x v="0"/>
    <s v="Case handled by AG001"/>
    <s v="July"/>
    <n v="7"/>
    <s v="Q3"/>
    <s v="Low"/>
    <s v="No"/>
    <s v="OK"/>
  </r>
  <r>
    <s v="CC-10128"/>
    <x v="110"/>
    <s v="AG007"/>
    <x v="2"/>
    <x v="2"/>
    <x v="2"/>
    <s v="Phone"/>
    <x v="2"/>
    <n v="10.6"/>
    <n v="4.2"/>
    <s v="Yes"/>
    <n v="5"/>
    <x v="0"/>
    <s v="No"/>
    <n v="1"/>
    <x v="4"/>
    <s v="Case handled by AG007"/>
    <s v="February"/>
    <n v="2"/>
    <s v="Q1"/>
    <s v="Medium"/>
    <s v="No"/>
    <s v="OK"/>
  </r>
  <r>
    <s v="CC-10129"/>
    <x v="113"/>
    <s v="AG007"/>
    <x v="2"/>
    <x v="2"/>
    <x v="2"/>
    <s v="Phone"/>
    <x v="6"/>
    <n v="4.9000000000000004"/>
    <n v="2.7"/>
    <s v="Yes"/>
    <n v="4"/>
    <x v="3"/>
    <s v="No"/>
    <n v="1"/>
    <x v="4"/>
    <s v="Case handled by AG007"/>
    <s v="May"/>
    <n v="5"/>
    <s v="Q2"/>
    <s v="Low"/>
    <s v="No"/>
    <s v="OK"/>
  </r>
  <r>
    <s v="CC-10130"/>
    <x v="114"/>
    <s v="AG009"/>
    <x v="8"/>
    <x v="0"/>
    <x v="0"/>
    <s v="Phone"/>
    <x v="4"/>
    <n v="5.5"/>
    <n v="2.2000000000000002"/>
    <s v="No"/>
    <n v="3"/>
    <x v="4"/>
    <s v="Yes"/>
    <n v="1"/>
    <x v="1"/>
    <s v="Case handled by AG009"/>
    <s v="February"/>
    <n v="2"/>
    <s v="Q1"/>
    <s v="Low"/>
    <s v="No"/>
    <s v="OK"/>
  </r>
  <r>
    <s v="CC-10131"/>
    <x v="115"/>
    <s v="AG003"/>
    <x v="6"/>
    <x v="1"/>
    <x v="1"/>
    <s v="Chat"/>
    <x v="7"/>
    <n v="3.9"/>
    <n v="2"/>
    <s v="Yes"/>
    <n v="5"/>
    <x v="1"/>
    <s v="No"/>
    <n v="0"/>
    <x v="3"/>
    <s v="Case handled by AG003"/>
    <s v="April"/>
    <n v="4"/>
    <s v="Q2"/>
    <s v="Low"/>
    <s v="No"/>
    <s v="OK"/>
  </r>
  <r>
    <s v="CC-10132"/>
    <x v="116"/>
    <s v="AG010"/>
    <x v="4"/>
    <x v="2"/>
    <x v="2"/>
    <s v="Chat"/>
    <x v="7"/>
    <n v="4.5"/>
    <n v="8.8000000000000007"/>
    <s v="Yes"/>
    <n v="4"/>
    <x v="4"/>
    <s v="No"/>
    <n v="1"/>
    <x v="2"/>
    <s v="Case handled by AG010"/>
    <s v="November"/>
    <n v="11"/>
    <s v="Q4"/>
    <s v="Low"/>
    <s v="No"/>
    <s v="OK"/>
  </r>
  <r>
    <s v="CC-10133"/>
    <x v="117"/>
    <s v="AG010"/>
    <x v="4"/>
    <x v="2"/>
    <x v="2"/>
    <s v="Phone"/>
    <x v="6"/>
    <n v="11.3"/>
    <n v="4.8"/>
    <s v="Yes"/>
    <n v="4"/>
    <x v="4"/>
    <s v="No"/>
    <n v="1"/>
    <x v="2"/>
    <s v="Case handled by AG010"/>
    <s v="May"/>
    <n v="5"/>
    <s v="Q2"/>
    <s v="Medium"/>
    <s v="No"/>
    <s v="OK"/>
  </r>
  <r>
    <s v="CC-10134"/>
    <x v="114"/>
    <s v="AG002"/>
    <x v="0"/>
    <x v="0"/>
    <x v="0"/>
    <s v="Email"/>
    <x v="5"/>
    <n v="5.3"/>
    <n v="2.4"/>
    <s v="Yes"/>
    <n v="4"/>
    <x v="4"/>
    <s v="No"/>
    <n v="0"/>
    <x v="3"/>
    <s v="Case handled by AG002"/>
    <s v="February"/>
    <n v="2"/>
    <s v="Q1"/>
    <s v="Low"/>
    <s v="No"/>
    <s v="OK"/>
  </r>
  <r>
    <s v="CC-10135"/>
    <x v="118"/>
    <s v="AG008"/>
    <x v="5"/>
    <x v="1"/>
    <x v="1"/>
    <s v="Email"/>
    <x v="4"/>
    <n v="1"/>
    <n v="4"/>
    <s v="Yes"/>
    <n v="4"/>
    <x v="0"/>
    <s v="No"/>
    <n v="1"/>
    <x v="2"/>
    <s v="Case handled by AG008"/>
    <s v="November"/>
    <n v="11"/>
    <s v="Q4"/>
    <s v="Low"/>
    <s v="No"/>
    <s v="OK"/>
  </r>
  <r>
    <s v="CC-10136"/>
    <x v="119"/>
    <s v="AG008"/>
    <x v="5"/>
    <x v="1"/>
    <x v="1"/>
    <s v="Phone"/>
    <x v="2"/>
    <n v="11.6"/>
    <n v="3.9"/>
    <s v="Yes"/>
    <n v="4"/>
    <x v="2"/>
    <s v="No"/>
    <n v="1"/>
    <x v="4"/>
    <s v="Case handled by AG008"/>
    <s v="May"/>
    <n v="5"/>
    <s v="Q2"/>
    <s v="Medium"/>
    <s v="No"/>
    <s v="OK"/>
  </r>
  <r>
    <s v="CC-10137"/>
    <x v="105"/>
    <s v="AG010"/>
    <x v="4"/>
    <x v="2"/>
    <x v="2"/>
    <s v="Phone"/>
    <x v="4"/>
    <n v="12"/>
    <n v="4.9000000000000004"/>
    <s v="No"/>
    <n v="4"/>
    <x v="4"/>
    <s v="Yes"/>
    <n v="3"/>
    <x v="4"/>
    <s v="Case handled by AG010"/>
    <s v="June"/>
    <n v="6"/>
    <s v="Q2"/>
    <s v="Medium"/>
    <s v="No"/>
    <s v="OK"/>
  </r>
  <r>
    <s v="CC-10138"/>
    <x v="70"/>
    <s v="AG010"/>
    <x v="4"/>
    <x v="2"/>
    <x v="2"/>
    <s v="Email"/>
    <x v="3"/>
    <n v="4.5"/>
    <n v="0.2"/>
    <s v="Yes"/>
    <n v="4"/>
    <x v="4"/>
    <s v="No"/>
    <n v="1"/>
    <x v="1"/>
    <s v="Case handled by AG010"/>
    <s v="February"/>
    <n v="2"/>
    <s v="Q1"/>
    <s v="Low"/>
    <s v="No"/>
    <s v="OK"/>
  </r>
  <r>
    <s v="CC-10139"/>
    <x v="120"/>
    <s v="AG007"/>
    <x v="2"/>
    <x v="2"/>
    <x v="2"/>
    <s v="Email"/>
    <x v="6"/>
    <n v="6.3"/>
    <n v="2.6"/>
    <s v="No"/>
    <n v="2"/>
    <x v="0"/>
    <s v="No"/>
    <n v="0"/>
    <x v="3"/>
    <s v="Case handled by AG007"/>
    <s v="October"/>
    <n v="10"/>
    <s v="Q4"/>
    <s v="Low"/>
    <s v="No"/>
    <s v="OK"/>
  </r>
  <r>
    <s v="CC-10140"/>
    <x v="55"/>
    <s v="AG005"/>
    <x v="7"/>
    <x v="0"/>
    <x v="0"/>
    <s v="Phone"/>
    <x v="4"/>
    <n v="8.9"/>
    <n v="5.3"/>
    <s v="Yes"/>
    <n v="5"/>
    <x v="3"/>
    <s v="No"/>
    <n v="1"/>
    <x v="1"/>
    <s v="Case handled by AG005"/>
    <s v="July"/>
    <n v="7"/>
    <s v="Q3"/>
    <s v="Low"/>
    <s v="No"/>
    <s v="OK"/>
  </r>
  <r>
    <s v="CC-10141"/>
    <x v="114"/>
    <s v="AG005"/>
    <x v="7"/>
    <x v="0"/>
    <x v="0"/>
    <s v="Email"/>
    <x v="4"/>
    <n v="7.6041237113402103"/>
    <n v="3.2"/>
    <s v="Yes"/>
    <n v="5"/>
    <x v="1"/>
    <s v="No"/>
    <n v="0"/>
    <x v="4"/>
    <s v="Case handled by AG005"/>
    <s v="February"/>
    <n v="2"/>
    <s v="Q1"/>
    <s v="Low"/>
    <s v="No"/>
    <s v="OK"/>
  </r>
  <r>
    <s v="CC-10142"/>
    <x v="121"/>
    <s v="AG003"/>
    <x v="6"/>
    <x v="1"/>
    <x v="1"/>
    <s v="Phone"/>
    <x v="2"/>
    <n v="11"/>
    <n v="7.2"/>
    <s v="Yes"/>
    <n v="5"/>
    <x v="4"/>
    <s v="No"/>
    <n v="0"/>
    <x v="3"/>
    <s v="Case handled by AG003"/>
    <s v="July"/>
    <n v="7"/>
    <s v="Q3"/>
    <s v="Medium"/>
    <s v="No"/>
    <s v="OK"/>
  </r>
  <r>
    <s v="CC-10143"/>
    <x v="122"/>
    <s v="AG004"/>
    <x v="1"/>
    <x v="1"/>
    <x v="1"/>
    <s v="Chat"/>
    <x v="5"/>
    <n v="12"/>
    <n v="3.5"/>
    <s v="No"/>
    <n v="5"/>
    <x v="4"/>
    <s v="Yes"/>
    <n v="1"/>
    <x v="4"/>
    <s v="Case handled by AG004"/>
    <s v="December"/>
    <n v="12"/>
    <s v="Q4"/>
    <s v="Medium"/>
    <s v="No"/>
    <s v="OK"/>
  </r>
  <r>
    <s v="CC-10144"/>
    <x v="123"/>
    <s v="AG010"/>
    <x v="4"/>
    <x v="2"/>
    <x v="2"/>
    <s v="Email"/>
    <x v="2"/>
    <n v="11.3"/>
    <n v="3.8"/>
    <s v="Yes"/>
    <n v="4"/>
    <x v="3"/>
    <s v="No"/>
    <n v="1"/>
    <x v="0"/>
    <s v="Case handled by AG010"/>
    <s v="December"/>
    <n v="12"/>
    <s v="Q4"/>
    <s v="Medium"/>
    <s v="No"/>
    <s v="OK"/>
  </r>
  <r>
    <s v="CC-10145"/>
    <x v="51"/>
    <s v="AG010"/>
    <x v="4"/>
    <x v="2"/>
    <x v="2"/>
    <s v="Phone"/>
    <x v="3"/>
    <n v="9.5"/>
    <n v="5.2"/>
    <s v="Yes"/>
    <n v="5"/>
    <x v="4"/>
    <s v="No"/>
    <n v="1"/>
    <x v="0"/>
    <s v="Case handled by AG010"/>
    <s v="April"/>
    <n v="4"/>
    <s v="Q2"/>
    <s v="Low"/>
    <s v="No"/>
    <s v="OK"/>
  </r>
  <r>
    <s v="CC-10146"/>
    <x v="124"/>
    <s v="AG003"/>
    <x v="6"/>
    <x v="1"/>
    <x v="1"/>
    <s v="Phone"/>
    <x v="0"/>
    <n v="7.1"/>
    <n v="8.3000000000000007"/>
    <s v="No"/>
    <n v="3"/>
    <x v="2"/>
    <s v="Yes"/>
    <n v="1"/>
    <x v="3"/>
    <s v="Case handled by AG003"/>
    <s v="February"/>
    <n v="2"/>
    <s v="Q1"/>
    <s v="Low"/>
    <s v="No"/>
    <s v="OK"/>
  </r>
  <r>
    <s v="CC-10147"/>
    <x v="125"/>
    <s v="AG007"/>
    <x v="2"/>
    <x v="2"/>
    <x v="2"/>
    <s v="Phone"/>
    <x v="6"/>
    <n v="5.8"/>
    <n v="4"/>
    <s v="Yes"/>
    <n v="5"/>
    <x v="0"/>
    <s v="No"/>
    <n v="1"/>
    <x v="1"/>
    <s v="Case handled by AG007"/>
    <s v="January"/>
    <n v="1"/>
    <s v="Q1"/>
    <s v="Low"/>
    <s v="No"/>
    <s v="OK"/>
  </r>
  <r>
    <s v="CC-10148"/>
    <x v="126"/>
    <s v="AG006"/>
    <x v="3"/>
    <x v="2"/>
    <x v="2"/>
    <s v="Chat"/>
    <x v="7"/>
    <n v="8.4"/>
    <n v="2.9"/>
    <s v="Yes"/>
    <n v="4"/>
    <x v="1"/>
    <s v="No"/>
    <n v="1"/>
    <x v="1"/>
    <s v="Case handled by AG006"/>
    <s v="November"/>
    <n v="11"/>
    <s v="Q4"/>
    <s v="Low"/>
    <s v="No"/>
    <s v="OK"/>
  </r>
  <r>
    <s v="CC-10149"/>
    <x v="127"/>
    <s v="AG002"/>
    <x v="0"/>
    <x v="0"/>
    <x v="0"/>
    <s v="Phone"/>
    <x v="3"/>
    <n v="10.1"/>
    <n v="4.2"/>
    <s v="No"/>
    <n v="3"/>
    <x v="0"/>
    <s v="Yes"/>
    <n v="2"/>
    <x v="1"/>
    <s v="Case handled by AG002"/>
    <s v="January"/>
    <n v="1"/>
    <s v="Q1"/>
    <s v="Medium"/>
    <s v="No"/>
    <s v="OK"/>
  </r>
  <r>
    <s v="CC-10150"/>
    <x v="128"/>
    <s v="AG007"/>
    <x v="2"/>
    <x v="2"/>
    <x v="2"/>
    <s v="Email"/>
    <x v="0"/>
    <n v="5.3"/>
    <n v="1.9"/>
    <s v="No"/>
    <n v="2"/>
    <x v="1"/>
    <s v="No"/>
    <n v="1"/>
    <x v="0"/>
    <s v="Case handled by AG007"/>
    <s v="May"/>
    <n v="5"/>
    <s v="Q2"/>
    <s v="Low"/>
    <s v="No"/>
    <s v="OK"/>
  </r>
  <r>
    <s v="CC-10151"/>
    <x v="46"/>
    <s v="AG004"/>
    <x v="1"/>
    <x v="1"/>
    <x v="1"/>
    <s v="Phone"/>
    <x v="6"/>
    <n v="7.5"/>
    <n v="2.4"/>
    <s v="No"/>
    <n v="1"/>
    <x v="0"/>
    <s v="Yes"/>
    <n v="3"/>
    <x v="1"/>
    <s v="Case handled by AG004"/>
    <s v="January"/>
    <n v="1"/>
    <s v="Q1"/>
    <s v="Low"/>
    <s v="Yes"/>
    <s v="OK"/>
  </r>
  <r>
    <s v="CC-10152"/>
    <x v="129"/>
    <s v="AG009"/>
    <x v="8"/>
    <x v="0"/>
    <x v="0"/>
    <s v="Phone"/>
    <x v="2"/>
    <n v="1"/>
    <n v="3.7"/>
    <s v="Yes"/>
    <n v="4"/>
    <x v="4"/>
    <s v="No"/>
    <n v="1"/>
    <x v="3"/>
    <s v="Case handled by AG009"/>
    <s v="September"/>
    <n v="9"/>
    <s v="Q3"/>
    <s v="Low"/>
    <s v="No"/>
    <s v="OK"/>
  </r>
  <r>
    <s v="CC-10153"/>
    <x v="130"/>
    <s v="AG001"/>
    <x v="9"/>
    <x v="0"/>
    <x v="0"/>
    <s v="Phone"/>
    <x v="6"/>
    <n v="7.3"/>
    <n v="4.5999999999999996"/>
    <s v="Yes"/>
    <n v="3"/>
    <x v="1"/>
    <s v="No"/>
    <n v="1"/>
    <x v="1"/>
    <s v="Case handled by AG001"/>
    <s v="May"/>
    <n v="5"/>
    <s v="Q2"/>
    <s v="Low"/>
    <s v="No"/>
    <s v="OK"/>
  </r>
  <r>
    <s v="CC-10154"/>
    <x v="105"/>
    <s v="AG003"/>
    <x v="6"/>
    <x v="1"/>
    <x v="1"/>
    <s v="Phone"/>
    <x v="3"/>
    <n v="10.199999999999999"/>
    <n v="1.3"/>
    <s v="Yes"/>
    <n v="5"/>
    <x v="2"/>
    <s v="No"/>
    <n v="1"/>
    <x v="1"/>
    <s v="Case handled by AG003"/>
    <s v="June"/>
    <n v="6"/>
    <s v="Q2"/>
    <s v="Medium"/>
    <s v="No"/>
    <s v="OK"/>
  </r>
  <r>
    <s v="CC-10155"/>
    <x v="131"/>
    <s v="AG005"/>
    <x v="7"/>
    <x v="0"/>
    <x v="0"/>
    <s v="Email"/>
    <x v="2"/>
    <n v="9.6"/>
    <n v="7.4"/>
    <s v="Yes"/>
    <n v="5"/>
    <x v="1"/>
    <s v="No"/>
    <n v="1"/>
    <x v="4"/>
    <s v="Case handled by AG005"/>
    <s v="January"/>
    <n v="1"/>
    <s v="Q1"/>
    <s v="Low"/>
    <s v="No"/>
    <s v="OK"/>
  </r>
  <r>
    <s v="CC-10156"/>
    <x v="132"/>
    <s v="AG005"/>
    <x v="7"/>
    <x v="0"/>
    <x v="0"/>
    <s v="Phone"/>
    <x v="6"/>
    <n v="12.2"/>
    <n v="4.7"/>
    <s v="Yes"/>
    <n v="4"/>
    <x v="2"/>
    <s v="No"/>
    <n v="1"/>
    <x v="4"/>
    <s v="Case handled by AG005"/>
    <s v="August"/>
    <n v="8"/>
    <s v="Q3"/>
    <s v="Medium"/>
    <s v="No"/>
    <s v="OK"/>
  </r>
  <r>
    <s v="CC-10157"/>
    <x v="133"/>
    <s v="AG008"/>
    <x v="5"/>
    <x v="1"/>
    <x v="1"/>
    <s v="Phone"/>
    <x v="1"/>
    <n v="10.3"/>
    <n v="2.8"/>
    <s v="Yes"/>
    <n v="5"/>
    <x v="0"/>
    <s v="No"/>
    <n v="1"/>
    <x v="3"/>
    <s v="Case handled by AG008"/>
    <s v="July"/>
    <n v="7"/>
    <s v="Q3"/>
    <s v="Medium"/>
    <s v="No"/>
    <s v="OK"/>
  </r>
  <r>
    <s v="CC-10158"/>
    <x v="134"/>
    <s v="AG002"/>
    <x v="0"/>
    <x v="0"/>
    <x v="0"/>
    <s v="Phone"/>
    <x v="1"/>
    <n v="1"/>
    <n v="6.8"/>
    <s v="No"/>
    <n v="3"/>
    <x v="2"/>
    <s v="Yes"/>
    <n v="0"/>
    <x v="4"/>
    <s v="Case handled by AG002"/>
    <s v="August"/>
    <n v="8"/>
    <s v="Q3"/>
    <s v="Low"/>
    <s v="No"/>
    <s v="OK"/>
  </r>
  <r>
    <s v="CC-10159"/>
    <x v="135"/>
    <s v="AG007"/>
    <x v="2"/>
    <x v="2"/>
    <x v="2"/>
    <s v="Chat"/>
    <x v="1"/>
    <n v="9.6"/>
    <n v="5.9"/>
    <s v="Yes"/>
    <n v="4"/>
    <x v="0"/>
    <s v="No"/>
    <n v="1"/>
    <x v="0"/>
    <s v="Case handled by AG007"/>
    <s v="November"/>
    <n v="11"/>
    <s v="Q4"/>
    <s v="Low"/>
    <s v="No"/>
    <s v="OK"/>
  </r>
  <r>
    <s v="CC-10160"/>
    <x v="136"/>
    <s v="AG007"/>
    <x v="2"/>
    <x v="2"/>
    <x v="2"/>
    <s v="Email"/>
    <x v="7"/>
    <n v="4.5"/>
    <n v="6.7"/>
    <s v="Yes"/>
    <n v="5"/>
    <x v="0"/>
    <s v="No"/>
    <n v="0"/>
    <x v="1"/>
    <s v="Case handled by AG007"/>
    <s v="February"/>
    <n v="2"/>
    <s v="Q1"/>
    <s v="Low"/>
    <s v="No"/>
    <s v="OK"/>
  </r>
  <r>
    <s v="CC-10161"/>
    <x v="81"/>
    <s v="AG002"/>
    <x v="0"/>
    <x v="0"/>
    <x v="0"/>
    <s v="Phone"/>
    <x v="7"/>
    <n v="8.4"/>
    <n v="6.9"/>
    <s v="Yes"/>
    <n v="3"/>
    <x v="4"/>
    <s v="No"/>
    <n v="0"/>
    <x v="0"/>
    <s v="Case handled by AG002"/>
    <s v="March"/>
    <n v="3"/>
    <s v="Q1"/>
    <s v="Low"/>
    <s v="No"/>
    <s v="OK"/>
  </r>
  <r>
    <s v="CC-10162"/>
    <x v="137"/>
    <s v="AG008"/>
    <x v="5"/>
    <x v="1"/>
    <x v="1"/>
    <s v="Phone"/>
    <x v="5"/>
    <n v="8.3000000000000007"/>
    <n v="1.4"/>
    <s v="Yes"/>
    <n v="4"/>
    <x v="0"/>
    <s v="No"/>
    <n v="1"/>
    <x v="4"/>
    <s v="Case handled by AG008"/>
    <s v="July"/>
    <n v="7"/>
    <s v="Q3"/>
    <s v="Low"/>
    <s v="No"/>
    <s v="OK"/>
  </r>
  <r>
    <s v="CC-10163"/>
    <x v="138"/>
    <s v="AG003"/>
    <x v="6"/>
    <x v="1"/>
    <x v="1"/>
    <s v="Chat"/>
    <x v="5"/>
    <n v="5"/>
    <n v="4"/>
    <s v="Yes"/>
    <n v="4"/>
    <x v="1"/>
    <s v="No"/>
    <n v="1"/>
    <x v="4"/>
    <s v="Case handled by AG003"/>
    <s v="January"/>
    <n v="1"/>
    <s v="Q1"/>
    <s v="Low"/>
    <s v="No"/>
    <s v="OK"/>
  </r>
  <r>
    <s v="CC-10164"/>
    <x v="139"/>
    <s v="AG008"/>
    <x v="5"/>
    <x v="1"/>
    <x v="1"/>
    <s v="Phone"/>
    <x v="6"/>
    <n v="8.5"/>
    <n v="5"/>
    <s v="No"/>
    <n v="2"/>
    <x v="0"/>
    <s v="Yes"/>
    <n v="3"/>
    <x v="2"/>
    <s v="Case handled by AG008"/>
    <s v="May"/>
    <n v="5"/>
    <s v="Q2"/>
    <s v="Low"/>
    <s v="No"/>
    <s v="OK"/>
  </r>
  <r>
    <s v="CC-10165"/>
    <x v="61"/>
    <s v="AG009"/>
    <x v="8"/>
    <x v="0"/>
    <x v="0"/>
    <s v="Phone"/>
    <x v="3"/>
    <n v="7.4"/>
    <n v="5.6"/>
    <s v="Yes"/>
    <n v="3"/>
    <x v="3"/>
    <s v="No"/>
    <n v="1"/>
    <x v="0"/>
    <s v="Case handled by AG009"/>
    <s v="October"/>
    <n v="10"/>
    <s v="Q4"/>
    <s v="Low"/>
    <s v="No"/>
    <s v="OK"/>
  </r>
  <r>
    <s v="CC-10166"/>
    <x v="140"/>
    <s v="AG004"/>
    <x v="1"/>
    <x v="1"/>
    <x v="1"/>
    <s v="Email"/>
    <x v="4"/>
    <n v="8.1999999999999993"/>
    <n v="3.6"/>
    <s v="Yes"/>
    <n v="4"/>
    <x v="1"/>
    <s v="No"/>
    <n v="1"/>
    <x v="3"/>
    <s v="Case handled by AG004"/>
    <s v="March"/>
    <n v="3"/>
    <s v="Q1"/>
    <s v="Low"/>
    <s v="No"/>
    <s v="OK"/>
  </r>
  <r>
    <s v="CC-10167"/>
    <x v="141"/>
    <s v="AG002"/>
    <x v="0"/>
    <x v="0"/>
    <x v="0"/>
    <s v="Email"/>
    <x v="3"/>
    <n v="3.7"/>
    <n v="11.4"/>
    <s v="Yes"/>
    <n v="5"/>
    <x v="3"/>
    <s v="No"/>
    <n v="1"/>
    <x v="3"/>
    <s v="Case handled by AG002"/>
    <s v="February"/>
    <n v="2"/>
    <s v="Q1"/>
    <s v="Low"/>
    <s v="No"/>
    <s v="OK"/>
  </r>
  <r>
    <s v="CC-10168"/>
    <x v="142"/>
    <s v="AG002"/>
    <x v="0"/>
    <x v="0"/>
    <x v="0"/>
    <s v="Chat"/>
    <x v="0"/>
    <n v="3.7"/>
    <n v="4.9000000000000004"/>
    <s v="Yes"/>
    <n v="4"/>
    <x v="0"/>
    <s v="No"/>
    <n v="0"/>
    <x v="1"/>
    <s v="Case handled by AG002"/>
    <s v="June"/>
    <n v="6"/>
    <s v="Q2"/>
    <s v="Low"/>
    <s v="No"/>
    <s v="OK"/>
  </r>
  <r>
    <s v="CC-10169"/>
    <x v="143"/>
    <s v="AG003"/>
    <x v="6"/>
    <x v="1"/>
    <x v="1"/>
    <s v="Email"/>
    <x v="1"/>
    <n v="7.4"/>
    <n v="5.0999999999999996"/>
    <s v="Yes"/>
    <n v="5"/>
    <x v="0"/>
    <s v="No"/>
    <n v="0"/>
    <x v="4"/>
    <s v="Case handled by AG003"/>
    <s v="September"/>
    <n v="9"/>
    <s v="Q3"/>
    <s v="Low"/>
    <s v="No"/>
    <s v="OK"/>
  </r>
  <r>
    <s v="CC-10170"/>
    <x v="100"/>
    <s v="AG004"/>
    <x v="1"/>
    <x v="1"/>
    <x v="1"/>
    <s v="Phone"/>
    <x v="4"/>
    <n v="5.5"/>
    <n v="2.1"/>
    <s v="No"/>
    <n v="2"/>
    <x v="3"/>
    <s v="Yes"/>
    <n v="0"/>
    <x v="0"/>
    <s v="Case handled by AG004"/>
    <s v="May"/>
    <n v="5"/>
    <s v="Q2"/>
    <s v="Low"/>
    <s v="No"/>
    <s v="OK"/>
  </r>
  <r>
    <s v="CC-10171"/>
    <x v="144"/>
    <s v="AG010"/>
    <x v="4"/>
    <x v="2"/>
    <x v="2"/>
    <s v="Phone"/>
    <x v="0"/>
    <n v="7.2"/>
    <n v="1.3"/>
    <s v="Yes"/>
    <n v="5"/>
    <x v="1"/>
    <s v="No"/>
    <n v="0"/>
    <x v="2"/>
    <s v="Case handled by AG010"/>
    <s v="December"/>
    <n v="12"/>
    <s v="Q4"/>
    <s v="Low"/>
    <s v="No"/>
    <s v="OK"/>
  </r>
  <r>
    <s v="CC-10172"/>
    <x v="101"/>
    <s v="AG004"/>
    <x v="1"/>
    <x v="1"/>
    <x v="1"/>
    <s v="Phone"/>
    <x v="1"/>
    <n v="8.3000000000000007"/>
    <n v="1.9"/>
    <s v="Yes"/>
    <n v="5"/>
    <x v="2"/>
    <s v="No"/>
    <n v="1"/>
    <x v="0"/>
    <s v="Case handled by AG004"/>
    <s v="May"/>
    <n v="5"/>
    <s v="Q2"/>
    <s v="Low"/>
    <s v="No"/>
    <s v="OK"/>
  </r>
  <r>
    <s v="CC-10173"/>
    <x v="145"/>
    <s v="AG007"/>
    <x v="2"/>
    <x v="2"/>
    <x v="2"/>
    <s v="Phone"/>
    <x v="6"/>
    <n v="7.7"/>
    <n v="4.7"/>
    <s v="No"/>
    <n v="2"/>
    <x v="1"/>
    <s v="No"/>
    <n v="1"/>
    <x v="3"/>
    <s v="Case handled by AG007"/>
    <s v="May"/>
    <n v="5"/>
    <s v="Q2"/>
    <s v="Low"/>
    <s v="No"/>
    <s v="OK"/>
  </r>
  <r>
    <s v="CC-10174"/>
    <x v="146"/>
    <s v="AG006"/>
    <x v="3"/>
    <x v="2"/>
    <x v="2"/>
    <s v="Phone"/>
    <x v="6"/>
    <n v="9.6999999999999993"/>
    <n v="2.7"/>
    <s v="Yes"/>
    <n v="5"/>
    <x v="1"/>
    <s v="No"/>
    <n v="1"/>
    <x v="3"/>
    <s v="Case handled by AG006"/>
    <s v="March"/>
    <n v="3"/>
    <s v="Q1"/>
    <s v="Low"/>
    <s v="No"/>
    <s v="OK"/>
  </r>
  <r>
    <s v="CC-10175"/>
    <x v="147"/>
    <s v="AG002"/>
    <x v="0"/>
    <x v="0"/>
    <x v="0"/>
    <s v="Phone"/>
    <x v="1"/>
    <n v="6.6"/>
    <n v="6"/>
    <s v="Yes"/>
    <n v="3"/>
    <x v="2"/>
    <s v="No"/>
    <n v="0"/>
    <x v="2"/>
    <s v="Case handled by AG002"/>
    <s v="October"/>
    <n v="10"/>
    <s v="Q4"/>
    <s v="Low"/>
    <s v="No"/>
    <s v="OK"/>
  </r>
  <r>
    <s v="CC-10176"/>
    <x v="148"/>
    <s v="AG007"/>
    <x v="2"/>
    <x v="2"/>
    <x v="2"/>
    <s v="Phone"/>
    <x v="7"/>
    <n v="7.6041237113402103"/>
    <n v="8"/>
    <s v="No"/>
    <n v="3"/>
    <x v="1"/>
    <s v="No"/>
    <n v="1"/>
    <x v="1"/>
    <s v="Case handled by AG007"/>
    <s v="November"/>
    <n v="11"/>
    <s v="Q4"/>
    <s v="Low"/>
    <s v="No"/>
    <s v="OK"/>
  </r>
  <r>
    <s v="CC-10177"/>
    <x v="149"/>
    <s v="AG008"/>
    <x v="5"/>
    <x v="1"/>
    <x v="1"/>
    <s v="Phone"/>
    <x v="6"/>
    <n v="10.6"/>
    <n v="2.4"/>
    <s v="No"/>
    <n v="2"/>
    <x v="0"/>
    <s v="Yes"/>
    <n v="3"/>
    <x v="1"/>
    <s v="Case handled by AG008"/>
    <s v="August"/>
    <n v="8"/>
    <s v="Q3"/>
    <s v="Medium"/>
    <s v="No"/>
    <s v="OK"/>
  </r>
  <r>
    <s v="CC-10178"/>
    <x v="49"/>
    <s v="AG005"/>
    <x v="7"/>
    <x v="0"/>
    <x v="0"/>
    <s v="Email"/>
    <x v="0"/>
    <n v="1.8"/>
    <n v="4.0999999999999996"/>
    <s v="Yes"/>
    <n v="5"/>
    <x v="0"/>
    <s v="No"/>
    <n v="1"/>
    <x v="4"/>
    <s v="Case handled by AG005"/>
    <s v="January"/>
    <n v="1"/>
    <s v="Q1"/>
    <s v="Low"/>
    <s v="No"/>
    <s v="OK"/>
  </r>
  <r>
    <s v="CC-10179"/>
    <x v="150"/>
    <s v="AG003"/>
    <x v="6"/>
    <x v="1"/>
    <x v="1"/>
    <s v="Chat"/>
    <x v="0"/>
    <n v="11.6"/>
    <n v="1.8"/>
    <s v="Yes"/>
    <n v="5"/>
    <x v="1"/>
    <s v="No"/>
    <n v="1"/>
    <x v="2"/>
    <s v="Case handled by AG003"/>
    <s v="August"/>
    <n v="8"/>
    <s v="Q3"/>
    <s v="Medium"/>
    <s v="No"/>
    <s v="OK"/>
  </r>
  <r>
    <s v="CC-10180"/>
    <x v="147"/>
    <s v="AG004"/>
    <x v="1"/>
    <x v="1"/>
    <x v="1"/>
    <s v="Phone"/>
    <x v="3"/>
    <n v="6.4"/>
    <n v="5.3"/>
    <s v="Yes"/>
    <n v="4"/>
    <x v="3"/>
    <s v="No"/>
    <n v="1"/>
    <x v="0"/>
    <s v="Case handled by AG004"/>
    <s v="October"/>
    <n v="10"/>
    <s v="Q4"/>
    <s v="Low"/>
    <s v="No"/>
    <s v="OK"/>
  </r>
  <r>
    <s v="CC-10181"/>
    <x v="151"/>
    <s v="AG007"/>
    <x v="2"/>
    <x v="2"/>
    <x v="2"/>
    <s v="Phone"/>
    <x v="2"/>
    <n v="1.8"/>
    <n v="8.1999999999999993"/>
    <s v="Yes"/>
    <n v="4"/>
    <x v="1"/>
    <s v="No"/>
    <n v="1"/>
    <x v="1"/>
    <s v="Case handled by AG007"/>
    <s v="February"/>
    <n v="2"/>
    <s v="Q1"/>
    <s v="Low"/>
    <s v="No"/>
    <s v="OK"/>
  </r>
  <r>
    <s v="CC-10182"/>
    <x v="152"/>
    <s v="AG001"/>
    <x v="9"/>
    <x v="0"/>
    <x v="0"/>
    <s v="Email"/>
    <x v="6"/>
    <n v="12.6"/>
    <n v="4.8"/>
    <s v="No"/>
    <n v="5"/>
    <x v="3"/>
    <s v="Yes"/>
    <n v="1"/>
    <x v="4"/>
    <s v="Case handled by AG001"/>
    <s v="January"/>
    <n v="1"/>
    <s v="Q1"/>
    <s v="Medium"/>
    <s v="No"/>
    <s v="OK"/>
  </r>
  <r>
    <s v="CC-10183"/>
    <x v="153"/>
    <s v="AG010"/>
    <x v="4"/>
    <x v="2"/>
    <x v="2"/>
    <s v="Phone"/>
    <x v="7"/>
    <n v="7.8"/>
    <n v="2.2999999999999998"/>
    <s v="Yes"/>
    <n v="4"/>
    <x v="0"/>
    <s v="No"/>
    <n v="1"/>
    <x v="0"/>
    <s v="Case handled by AG010"/>
    <s v="July"/>
    <n v="7"/>
    <s v="Q3"/>
    <s v="Low"/>
    <s v="No"/>
    <s v="OK"/>
  </r>
  <r>
    <s v="CC-10184"/>
    <x v="52"/>
    <s v="AG006"/>
    <x v="3"/>
    <x v="2"/>
    <x v="2"/>
    <s v="Chat"/>
    <x v="1"/>
    <n v="4.0999999999999996"/>
    <n v="0"/>
    <s v="Yes"/>
    <n v="4"/>
    <x v="1"/>
    <s v="No"/>
    <n v="0"/>
    <x v="0"/>
    <s v="Case handled by AG006"/>
    <s v="July"/>
    <n v="7"/>
    <s v="Q3"/>
    <s v="Low"/>
    <s v="No"/>
    <s v="OK"/>
  </r>
  <r>
    <s v="CC-10185"/>
    <x v="107"/>
    <s v="AG004"/>
    <x v="1"/>
    <x v="1"/>
    <x v="1"/>
    <s v="Email"/>
    <x v="3"/>
    <n v="7.3"/>
    <n v="1.4"/>
    <s v="No"/>
    <n v="3"/>
    <x v="3"/>
    <s v="Yes"/>
    <n v="1"/>
    <x v="2"/>
    <s v="Case handled by AG004"/>
    <s v="October"/>
    <n v="10"/>
    <s v="Q4"/>
    <s v="Low"/>
    <s v="No"/>
    <s v="OK"/>
  </r>
  <r>
    <s v="CC-10186"/>
    <x v="154"/>
    <s v="AG008"/>
    <x v="5"/>
    <x v="1"/>
    <x v="1"/>
    <s v="Email"/>
    <x v="7"/>
    <n v="7.3"/>
    <n v="5.0999999999999996"/>
    <s v="Yes"/>
    <n v="5"/>
    <x v="0"/>
    <s v="No"/>
    <n v="1"/>
    <x v="0"/>
    <s v="Case handled by AG008"/>
    <s v="January"/>
    <n v="1"/>
    <s v="Q1"/>
    <s v="Low"/>
    <s v="No"/>
    <s v="OK"/>
  </r>
  <r>
    <s v="CC-10187"/>
    <x v="68"/>
    <s v="AG003"/>
    <x v="6"/>
    <x v="1"/>
    <x v="1"/>
    <s v="Chat"/>
    <x v="6"/>
    <n v="4.2"/>
    <n v="3.7"/>
    <s v="Yes"/>
    <n v="5"/>
    <x v="3"/>
    <s v="No"/>
    <n v="1"/>
    <x v="0"/>
    <s v="Case handled by AG003"/>
    <s v="December"/>
    <n v="12"/>
    <s v="Q4"/>
    <s v="Low"/>
    <s v="No"/>
    <s v="OK"/>
  </r>
  <r>
    <s v="CC-10188"/>
    <x v="155"/>
    <s v="AG009"/>
    <x v="8"/>
    <x v="0"/>
    <x v="0"/>
    <s v="Chat"/>
    <x v="5"/>
    <n v="6.5"/>
    <n v="5.6"/>
    <s v="Yes"/>
    <n v="5"/>
    <x v="3"/>
    <s v="No"/>
    <n v="1"/>
    <x v="0"/>
    <s v="Case handled by AG009"/>
    <s v="August"/>
    <n v="8"/>
    <s v="Q3"/>
    <s v="Low"/>
    <s v="No"/>
    <s v="OK"/>
  </r>
  <r>
    <s v="CC-10189"/>
    <x v="156"/>
    <s v="AG009"/>
    <x v="8"/>
    <x v="0"/>
    <x v="0"/>
    <s v="Chat"/>
    <x v="6"/>
    <n v="5.9"/>
    <n v="8.5"/>
    <s v="Yes"/>
    <n v="5"/>
    <x v="2"/>
    <s v="No"/>
    <n v="1"/>
    <x v="1"/>
    <s v="Case handled by AG009"/>
    <s v="May"/>
    <n v="5"/>
    <s v="Q2"/>
    <s v="Low"/>
    <s v="No"/>
    <s v="OK"/>
  </r>
  <r>
    <s v="CC-10190"/>
    <x v="157"/>
    <s v="AG009"/>
    <x v="8"/>
    <x v="0"/>
    <x v="0"/>
    <s v="Phone"/>
    <x v="4"/>
    <n v="12.9"/>
    <n v="2.6"/>
    <s v="Yes"/>
    <n v="3"/>
    <x v="4"/>
    <s v="No"/>
    <n v="1"/>
    <x v="3"/>
    <s v="Case handled by AG009"/>
    <s v="June"/>
    <n v="6"/>
    <s v="Q2"/>
    <s v="Medium"/>
    <s v="No"/>
    <s v="OK"/>
  </r>
  <r>
    <s v="CC-10191"/>
    <x v="54"/>
    <s v="AG005"/>
    <x v="7"/>
    <x v="0"/>
    <x v="0"/>
    <s v="Phone"/>
    <x v="5"/>
    <n v="9.1999999999999993"/>
    <n v="3.8"/>
    <s v="Yes"/>
    <n v="5"/>
    <x v="1"/>
    <s v="No"/>
    <n v="1"/>
    <x v="3"/>
    <s v="Case handled by AG005"/>
    <s v="January"/>
    <n v="1"/>
    <s v="Q1"/>
    <s v="Low"/>
    <s v="No"/>
    <s v="OK"/>
  </r>
  <r>
    <s v="CC-10192"/>
    <x v="158"/>
    <s v="AG009"/>
    <x v="8"/>
    <x v="0"/>
    <x v="0"/>
    <s v="Phone"/>
    <x v="5"/>
    <n v="7.5"/>
    <n v="3"/>
    <s v="Yes"/>
    <n v="4"/>
    <x v="3"/>
    <s v="No"/>
    <n v="0"/>
    <x v="1"/>
    <s v="Case handled by AG009"/>
    <s v="May"/>
    <n v="5"/>
    <s v="Q2"/>
    <s v="Low"/>
    <s v="No"/>
    <s v="OK"/>
  </r>
  <r>
    <s v="CC-10193"/>
    <x v="159"/>
    <s v="AG002"/>
    <x v="0"/>
    <x v="0"/>
    <x v="0"/>
    <s v="Phone"/>
    <x v="2"/>
    <n v="3.9"/>
    <n v="5.6"/>
    <s v="No"/>
    <n v="2"/>
    <x v="2"/>
    <s v="No"/>
    <n v="0"/>
    <x v="0"/>
    <s v="Case handled by AG002"/>
    <s v="January"/>
    <n v="1"/>
    <s v="Q1"/>
    <s v="Low"/>
    <s v="No"/>
    <s v="OK"/>
  </r>
  <r>
    <s v="CC-10194"/>
    <x v="160"/>
    <s v="AG004"/>
    <x v="1"/>
    <x v="1"/>
    <x v="1"/>
    <s v="Email"/>
    <x v="5"/>
    <n v="8.1"/>
    <n v="2.4"/>
    <s v="Yes"/>
    <n v="4"/>
    <x v="1"/>
    <s v="No"/>
    <n v="0"/>
    <x v="2"/>
    <s v="Case handled by AG004"/>
    <s v="September"/>
    <n v="9"/>
    <s v="Q3"/>
    <s v="Low"/>
    <s v="No"/>
    <s v="OK"/>
  </r>
  <r>
    <s v="CC-10195"/>
    <x v="161"/>
    <s v="AG003"/>
    <x v="6"/>
    <x v="1"/>
    <x v="1"/>
    <s v="Chat"/>
    <x v="4"/>
    <n v="3"/>
    <n v="5.9"/>
    <s v="Yes"/>
    <n v="5"/>
    <x v="4"/>
    <s v="No"/>
    <n v="0"/>
    <x v="3"/>
    <s v="Case handled by AG003"/>
    <s v="January"/>
    <n v="1"/>
    <s v="Q1"/>
    <s v="Low"/>
    <s v="No"/>
    <s v="OK"/>
  </r>
  <r>
    <s v="CC-10196"/>
    <x v="161"/>
    <s v="AG001"/>
    <x v="9"/>
    <x v="0"/>
    <x v="0"/>
    <s v="Chat"/>
    <x v="7"/>
    <n v="6.8"/>
    <n v="6.6"/>
    <s v="Yes"/>
    <n v="5"/>
    <x v="3"/>
    <s v="No"/>
    <n v="1"/>
    <x v="4"/>
    <s v="Case handled by AG001"/>
    <s v="January"/>
    <n v="1"/>
    <s v="Q1"/>
    <s v="Low"/>
    <s v="No"/>
    <s v="OK"/>
  </r>
  <r>
    <s v="CC-10197"/>
    <x v="104"/>
    <s v="AG008"/>
    <x v="5"/>
    <x v="1"/>
    <x v="1"/>
    <s v="Phone"/>
    <x v="0"/>
    <n v="7.2"/>
    <n v="7.6"/>
    <s v="Yes"/>
    <n v="4"/>
    <x v="4"/>
    <s v="No"/>
    <n v="1"/>
    <x v="4"/>
    <s v="Case handled by AG008"/>
    <s v="September"/>
    <n v="9"/>
    <s v="Q3"/>
    <s v="Low"/>
    <s v="No"/>
    <s v="OK"/>
  </r>
  <r>
    <s v="CC-10198"/>
    <x v="162"/>
    <s v="AG010"/>
    <x v="4"/>
    <x v="2"/>
    <x v="2"/>
    <s v="Email"/>
    <x v="6"/>
    <n v="7.1"/>
    <n v="2.8"/>
    <s v="Yes"/>
    <n v="4"/>
    <x v="0"/>
    <s v="No"/>
    <n v="1"/>
    <x v="3"/>
    <s v="Case handled by AG010"/>
    <s v="May"/>
    <n v="5"/>
    <s v="Q2"/>
    <s v="Low"/>
    <s v="No"/>
    <s v="OK"/>
  </r>
  <r>
    <s v="CC-10199"/>
    <x v="103"/>
    <s v="AG002"/>
    <x v="0"/>
    <x v="0"/>
    <x v="0"/>
    <s v="Phone"/>
    <x v="2"/>
    <n v="8.6999999999999993"/>
    <n v="5"/>
    <s v="Yes"/>
    <n v="4"/>
    <x v="3"/>
    <s v="No"/>
    <n v="0"/>
    <x v="2"/>
    <s v="Case handled by AG002"/>
    <s v="July"/>
    <n v="7"/>
    <s v="Q3"/>
    <s v="Low"/>
    <s v="No"/>
    <s v="OK"/>
  </r>
  <r>
    <s v="CC-10200"/>
    <x v="163"/>
    <s v="AG005"/>
    <x v="7"/>
    <x v="0"/>
    <x v="0"/>
    <s v="Phone"/>
    <x v="5"/>
    <n v="10.4"/>
    <n v="3.5"/>
    <s v="Yes"/>
    <n v="5"/>
    <x v="0"/>
    <s v="No"/>
    <n v="0"/>
    <x v="4"/>
    <s v="Case handled by AG005"/>
    <s v="August"/>
    <n v="8"/>
    <s v="Q3"/>
    <s v="Medium"/>
    <s v="No"/>
    <s v="OK"/>
  </r>
  <r>
    <s v="CC-10201"/>
    <x v="46"/>
    <s v="AG002"/>
    <x v="0"/>
    <x v="0"/>
    <x v="0"/>
    <s v="Phone"/>
    <x v="6"/>
    <n v="6.3"/>
    <n v="4.3"/>
    <s v="Yes"/>
    <n v="3"/>
    <x v="1"/>
    <s v="No"/>
    <n v="1"/>
    <x v="2"/>
    <s v="Case handled by AG002"/>
    <s v="January"/>
    <n v="1"/>
    <s v="Q1"/>
    <s v="Low"/>
    <s v="Yes"/>
    <s v="OK"/>
  </r>
  <r>
    <s v="CC-10202"/>
    <x v="60"/>
    <s v="AG004"/>
    <x v="1"/>
    <x v="1"/>
    <x v="1"/>
    <s v="Email"/>
    <x v="7"/>
    <n v="11.3"/>
    <n v="3.4"/>
    <s v="Yes"/>
    <n v="4"/>
    <x v="1"/>
    <s v="No"/>
    <n v="1"/>
    <x v="3"/>
    <s v="Case handled by AG004"/>
    <s v="April"/>
    <n v="4"/>
    <s v="Q2"/>
    <s v="Medium"/>
    <s v="No"/>
    <s v="OK"/>
  </r>
  <r>
    <s v="CC-10203"/>
    <x v="164"/>
    <s v="AG004"/>
    <x v="1"/>
    <x v="1"/>
    <x v="1"/>
    <s v="Chat"/>
    <x v="6"/>
    <n v="8.3000000000000007"/>
    <n v="1"/>
    <s v="Yes"/>
    <n v="4"/>
    <x v="0"/>
    <s v="No"/>
    <n v="0"/>
    <x v="0"/>
    <s v="Case handled by AG004"/>
    <s v="December"/>
    <n v="12"/>
    <s v="Q4"/>
    <s v="Low"/>
    <s v="No"/>
    <s v="OK"/>
  </r>
  <r>
    <s v="CC-10204"/>
    <x v="165"/>
    <s v="AG002"/>
    <x v="0"/>
    <x v="0"/>
    <x v="0"/>
    <s v="Phone"/>
    <x v="7"/>
    <n v="11.5"/>
    <n v="5"/>
    <s v="Yes"/>
    <n v="4"/>
    <x v="0"/>
    <s v="No"/>
    <n v="0"/>
    <x v="1"/>
    <s v="Case handled by AG002"/>
    <s v="October"/>
    <n v="10"/>
    <s v="Q4"/>
    <s v="Medium"/>
    <s v="No"/>
    <s v="OK"/>
  </r>
  <r>
    <s v="CC-10205"/>
    <x v="166"/>
    <s v="AG004"/>
    <x v="1"/>
    <x v="1"/>
    <x v="1"/>
    <s v="Chat"/>
    <x v="4"/>
    <n v="7.3"/>
    <n v="1.7"/>
    <s v="Yes"/>
    <n v="5"/>
    <x v="1"/>
    <s v="No"/>
    <n v="1"/>
    <x v="2"/>
    <s v="Case handled by AG004"/>
    <s v="December"/>
    <n v="12"/>
    <s v="Q4"/>
    <s v="Low"/>
    <s v="No"/>
    <s v="OK"/>
  </r>
  <r>
    <s v="CC-10206"/>
    <x v="167"/>
    <s v="AG008"/>
    <x v="5"/>
    <x v="1"/>
    <x v="1"/>
    <s v="Chat"/>
    <x v="1"/>
    <n v="4.5"/>
    <n v="3"/>
    <s v="Yes"/>
    <n v="5"/>
    <x v="0"/>
    <s v="No"/>
    <n v="1"/>
    <x v="2"/>
    <s v="Case handled by AG008"/>
    <s v="July"/>
    <n v="7"/>
    <s v="Q3"/>
    <s v="Low"/>
    <s v="No"/>
    <s v="OK"/>
  </r>
  <r>
    <s v="CC-10207"/>
    <x v="168"/>
    <s v="AG010"/>
    <x v="4"/>
    <x v="2"/>
    <x v="2"/>
    <s v="Chat"/>
    <x v="0"/>
    <n v="10.8"/>
    <n v="4.9000000000000004"/>
    <s v="Yes"/>
    <n v="5"/>
    <x v="4"/>
    <s v="No"/>
    <n v="0"/>
    <x v="2"/>
    <s v="Case handled by AG010"/>
    <s v="April"/>
    <n v="4"/>
    <s v="Q2"/>
    <s v="Medium"/>
    <s v="No"/>
    <s v="OK"/>
  </r>
  <r>
    <s v="CC-10208"/>
    <x v="82"/>
    <s v="AG003"/>
    <x v="6"/>
    <x v="1"/>
    <x v="1"/>
    <s v="Chat"/>
    <x v="7"/>
    <n v="8.6"/>
    <n v="0.6"/>
    <s v="Yes"/>
    <n v="5"/>
    <x v="2"/>
    <s v="No"/>
    <n v="1"/>
    <x v="4"/>
    <s v="Case handled by AG003"/>
    <s v="July"/>
    <n v="7"/>
    <s v="Q3"/>
    <s v="Low"/>
    <s v="No"/>
    <s v="OK"/>
  </r>
  <r>
    <s v="CC-10209"/>
    <x v="121"/>
    <s v="AG002"/>
    <x v="0"/>
    <x v="0"/>
    <x v="0"/>
    <s v="Phone"/>
    <x v="2"/>
    <n v="6.2"/>
    <n v="1.3"/>
    <s v="Yes"/>
    <n v="4"/>
    <x v="1"/>
    <s v="No"/>
    <n v="1"/>
    <x v="2"/>
    <s v="Case handled by AG002"/>
    <s v="July"/>
    <n v="7"/>
    <s v="Q3"/>
    <s v="Low"/>
    <s v="No"/>
    <s v="OK"/>
  </r>
  <r>
    <s v="CC-10210"/>
    <x v="169"/>
    <s v="AG004"/>
    <x v="1"/>
    <x v="1"/>
    <x v="1"/>
    <s v="Chat"/>
    <x v="2"/>
    <n v="10.6"/>
    <n v="1.1000000000000001"/>
    <s v="Yes"/>
    <n v="5"/>
    <x v="3"/>
    <s v="No"/>
    <n v="1"/>
    <x v="0"/>
    <s v="Case handled by AG004"/>
    <s v="March"/>
    <n v="3"/>
    <s v="Q1"/>
    <s v="Medium"/>
    <s v="No"/>
    <s v="OK"/>
  </r>
  <r>
    <s v="CC-10211"/>
    <x v="119"/>
    <s v="AG008"/>
    <x v="5"/>
    <x v="1"/>
    <x v="1"/>
    <s v="Chat"/>
    <x v="0"/>
    <n v="7.6041237113402103"/>
    <n v="5.3"/>
    <s v="Yes"/>
    <n v="5"/>
    <x v="3"/>
    <s v="No"/>
    <n v="0"/>
    <x v="2"/>
    <s v="Case handled by AG008"/>
    <s v="May"/>
    <n v="5"/>
    <s v="Q2"/>
    <s v="Low"/>
    <s v="No"/>
    <s v="OK"/>
  </r>
  <r>
    <s v="CC-10212"/>
    <x v="170"/>
    <s v="AG002"/>
    <x v="0"/>
    <x v="0"/>
    <x v="0"/>
    <s v="Phone"/>
    <x v="2"/>
    <n v="8.6"/>
    <n v="4.3"/>
    <s v="Yes"/>
    <n v="4"/>
    <x v="2"/>
    <s v="No"/>
    <n v="0"/>
    <x v="1"/>
    <s v="Case handled by AG002"/>
    <s v="April"/>
    <n v="4"/>
    <s v="Q2"/>
    <s v="Low"/>
    <s v="No"/>
    <s v="OK"/>
  </r>
  <r>
    <s v="CC-10213"/>
    <x v="171"/>
    <s v="AG009"/>
    <x v="8"/>
    <x v="0"/>
    <x v="0"/>
    <s v="Email"/>
    <x v="6"/>
    <n v="9.1999999999999993"/>
    <n v="7.9"/>
    <s v="No"/>
    <n v="2"/>
    <x v="1"/>
    <s v="No"/>
    <n v="1"/>
    <x v="1"/>
    <s v="Case handled by AG009"/>
    <s v="April"/>
    <n v="4"/>
    <s v="Q2"/>
    <s v="Low"/>
    <s v="No"/>
    <s v="OK"/>
  </r>
  <r>
    <s v="CC-10214"/>
    <x v="172"/>
    <s v="AG006"/>
    <x v="3"/>
    <x v="2"/>
    <x v="2"/>
    <s v="Phone"/>
    <x v="1"/>
    <n v="8.5"/>
    <n v="8.1"/>
    <s v="Yes"/>
    <n v="5"/>
    <x v="0"/>
    <s v="No"/>
    <n v="0"/>
    <x v="3"/>
    <s v="Case handled by AG006"/>
    <s v="November"/>
    <n v="11"/>
    <s v="Q4"/>
    <s v="Low"/>
    <s v="No"/>
    <s v="OK"/>
  </r>
  <r>
    <s v="CC-10215"/>
    <x v="173"/>
    <s v="AG010"/>
    <x v="4"/>
    <x v="2"/>
    <x v="2"/>
    <s v="Chat"/>
    <x v="6"/>
    <n v="12.8"/>
    <n v="1"/>
    <s v="No"/>
    <n v="4"/>
    <x v="2"/>
    <s v="No"/>
    <n v="0"/>
    <x v="4"/>
    <s v="Case handled by AG010"/>
    <s v="October"/>
    <n v="10"/>
    <s v="Q4"/>
    <s v="Medium"/>
    <s v="No"/>
    <s v="OK"/>
  </r>
  <r>
    <s v="CC-10216"/>
    <x v="82"/>
    <s v="AG003"/>
    <x v="6"/>
    <x v="1"/>
    <x v="1"/>
    <s v="Phone"/>
    <x v="4"/>
    <n v="7.4"/>
    <n v="5.2"/>
    <s v="Yes"/>
    <n v="4"/>
    <x v="2"/>
    <s v="No"/>
    <n v="0"/>
    <x v="1"/>
    <s v="Case handled by AG003"/>
    <s v="July"/>
    <n v="7"/>
    <s v="Q3"/>
    <s v="Low"/>
    <s v="No"/>
    <s v="OK"/>
  </r>
  <r>
    <s v="CC-10217"/>
    <x v="174"/>
    <s v="AG009"/>
    <x v="8"/>
    <x v="0"/>
    <x v="0"/>
    <s v="Phone"/>
    <x v="5"/>
    <n v="5.3"/>
    <n v="5.0999999999999996"/>
    <s v="Yes"/>
    <n v="4"/>
    <x v="4"/>
    <s v="No"/>
    <n v="1"/>
    <x v="1"/>
    <s v="Case handled by AG009"/>
    <s v="January"/>
    <n v="1"/>
    <s v="Q1"/>
    <s v="Low"/>
    <s v="No"/>
    <s v="OK"/>
  </r>
  <r>
    <s v="CC-10218"/>
    <x v="175"/>
    <s v="AG002"/>
    <x v="0"/>
    <x v="0"/>
    <x v="0"/>
    <s v="Phone"/>
    <x v="2"/>
    <n v="13.1"/>
    <n v="2.2000000000000002"/>
    <s v="No"/>
    <n v="2"/>
    <x v="1"/>
    <s v="No"/>
    <n v="0"/>
    <x v="2"/>
    <s v="Case handled by AG002"/>
    <s v="November"/>
    <n v="11"/>
    <s v="Q4"/>
    <s v="Medium"/>
    <s v="No"/>
    <s v="OK"/>
  </r>
  <r>
    <s v="CC-10219"/>
    <x v="135"/>
    <s v="AG001"/>
    <x v="9"/>
    <x v="0"/>
    <x v="0"/>
    <s v="Phone"/>
    <x v="6"/>
    <n v="9.4"/>
    <n v="3.1"/>
    <s v="Yes"/>
    <n v="5"/>
    <x v="4"/>
    <s v="No"/>
    <n v="0"/>
    <x v="3"/>
    <s v="Case handled by AG001"/>
    <s v="November"/>
    <n v="11"/>
    <s v="Q4"/>
    <s v="Low"/>
    <s v="No"/>
    <s v="OK"/>
  </r>
  <r>
    <s v="CC-10220"/>
    <x v="176"/>
    <s v="AG004"/>
    <x v="1"/>
    <x v="1"/>
    <x v="1"/>
    <s v="Email"/>
    <x v="5"/>
    <n v="15.1"/>
    <n v="2"/>
    <s v="No"/>
    <n v="2"/>
    <x v="2"/>
    <s v="No"/>
    <n v="1"/>
    <x v="1"/>
    <s v="Case handled by AG004"/>
    <s v="January"/>
    <n v="1"/>
    <s v="Q1"/>
    <s v="Medium"/>
    <s v="No"/>
    <s v="OK"/>
  </r>
  <r>
    <s v="CC-10221"/>
    <x v="128"/>
    <s v="AG009"/>
    <x v="8"/>
    <x v="0"/>
    <x v="0"/>
    <s v="Phone"/>
    <x v="6"/>
    <n v="6.9"/>
    <n v="5.5"/>
    <s v="Yes"/>
    <n v="4"/>
    <x v="1"/>
    <s v="No"/>
    <n v="1"/>
    <x v="4"/>
    <s v="Case handled by AG009"/>
    <s v="May"/>
    <n v="5"/>
    <s v="Q2"/>
    <s v="Low"/>
    <s v="No"/>
    <s v="OK"/>
  </r>
  <r>
    <s v="CC-10222"/>
    <x v="90"/>
    <s v="AG008"/>
    <x v="5"/>
    <x v="1"/>
    <x v="1"/>
    <s v="Chat"/>
    <x v="0"/>
    <n v="14.9"/>
    <n v="7.3"/>
    <s v="No"/>
    <n v="4"/>
    <x v="1"/>
    <s v="No"/>
    <n v="1"/>
    <x v="4"/>
    <s v="Case handled by AG008"/>
    <s v="September"/>
    <n v="9"/>
    <s v="Q3"/>
    <s v="Medium"/>
    <s v="No"/>
    <s v="OK"/>
  </r>
  <r>
    <s v="CC-10223"/>
    <x v="60"/>
    <s v="AG003"/>
    <x v="6"/>
    <x v="1"/>
    <x v="1"/>
    <s v="Phone"/>
    <x v="5"/>
    <n v="11.8"/>
    <n v="4.3"/>
    <s v="Yes"/>
    <n v="4"/>
    <x v="4"/>
    <s v="No"/>
    <n v="1"/>
    <x v="4"/>
    <s v="Case handled by AG003"/>
    <s v="April"/>
    <n v="4"/>
    <s v="Q2"/>
    <s v="Medium"/>
    <s v="No"/>
    <s v="OK"/>
  </r>
  <r>
    <s v="CC-10224"/>
    <x v="177"/>
    <s v="AG007"/>
    <x v="2"/>
    <x v="2"/>
    <x v="2"/>
    <s v="Chat"/>
    <x v="7"/>
    <n v="6"/>
    <n v="3.4"/>
    <s v="Yes"/>
    <n v="4"/>
    <x v="2"/>
    <s v="No"/>
    <n v="1"/>
    <x v="4"/>
    <s v="Case handled by AG007"/>
    <s v="April"/>
    <n v="4"/>
    <s v="Q2"/>
    <s v="Low"/>
    <s v="No"/>
    <s v="OK"/>
  </r>
  <r>
    <s v="CC-10225"/>
    <x v="178"/>
    <s v="AG006"/>
    <x v="3"/>
    <x v="2"/>
    <x v="2"/>
    <s v="Phone"/>
    <x v="3"/>
    <n v="10.3"/>
    <n v="6.8"/>
    <s v="Yes"/>
    <n v="4"/>
    <x v="0"/>
    <s v="No"/>
    <n v="0"/>
    <x v="0"/>
    <s v="Case handled by AG006"/>
    <s v="March"/>
    <n v="3"/>
    <s v="Q1"/>
    <s v="Medium"/>
    <s v="No"/>
    <s v="OK"/>
  </r>
  <r>
    <s v="CC-10226"/>
    <x v="111"/>
    <s v="AG007"/>
    <x v="2"/>
    <x v="2"/>
    <x v="2"/>
    <s v="Chat"/>
    <x v="6"/>
    <n v="10.8"/>
    <n v="6.1"/>
    <s v="No"/>
    <n v="2"/>
    <x v="0"/>
    <s v="Yes"/>
    <n v="1"/>
    <x v="0"/>
    <s v="Case handled by AG007"/>
    <s v="January"/>
    <n v="1"/>
    <s v="Q1"/>
    <s v="Medium"/>
    <s v="No"/>
    <s v="OK"/>
  </r>
  <r>
    <s v="CC-10227"/>
    <x v="179"/>
    <s v="AG010"/>
    <x v="4"/>
    <x v="2"/>
    <x v="2"/>
    <s v="Phone"/>
    <x v="1"/>
    <n v="11.8"/>
    <n v="2.5"/>
    <s v="No"/>
    <n v="1"/>
    <x v="1"/>
    <s v="No"/>
    <n v="1"/>
    <x v="2"/>
    <s v="Case handled by AG010"/>
    <s v="November"/>
    <n v="11"/>
    <s v="Q4"/>
    <s v="Medium"/>
    <s v="No"/>
    <s v="OK"/>
  </r>
  <r>
    <s v="CC-10228"/>
    <x v="139"/>
    <s v="AG001"/>
    <x v="9"/>
    <x v="0"/>
    <x v="0"/>
    <s v="Phone"/>
    <x v="4"/>
    <n v="3.4"/>
    <n v="4"/>
    <s v="Yes"/>
    <n v="4"/>
    <x v="3"/>
    <s v="No"/>
    <n v="0"/>
    <x v="2"/>
    <s v="Case handled by AG001"/>
    <s v="May"/>
    <n v="5"/>
    <s v="Q2"/>
    <s v="Low"/>
    <s v="No"/>
    <s v="OK"/>
  </r>
  <r>
    <s v="CC-10229"/>
    <x v="180"/>
    <s v="AG010"/>
    <x v="4"/>
    <x v="2"/>
    <x v="2"/>
    <s v="Email"/>
    <x v="5"/>
    <n v="2.6"/>
    <n v="3.4"/>
    <s v="No"/>
    <n v="3"/>
    <x v="3"/>
    <s v="Yes"/>
    <n v="3"/>
    <x v="3"/>
    <s v="Case handled by AG010"/>
    <s v="April"/>
    <n v="4"/>
    <s v="Q2"/>
    <s v="Low"/>
    <s v="No"/>
    <s v="OK"/>
  </r>
  <r>
    <s v="CC-10230"/>
    <x v="88"/>
    <s v="AG002"/>
    <x v="0"/>
    <x v="0"/>
    <x v="0"/>
    <s v="Chat"/>
    <x v="2"/>
    <n v="4.5999999999999996"/>
    <n v="0.7"/>
    <s v="Yes"/>
    <n v="5"/>
    <x v="1"/>
    <s v="No"/>
    <n v="0"/>
    <x v="3"/>
    <s v="Case handled by AG002"/>
    <s v="June"/>
    <n v="6"/>
    <s v="Q2"/>
    <s v="Low"/>
    <s v="No"/>
    <s v="OK"/>
  </r>
  <r>
    <s v="CC-10231"/>
    <x v="181"/>
    <s v="AG001"/>
    <x v="9"/>
    <x v="0"/>
    <x v="0"/>
    <s v="Phone"/>
    <x v="0"/>
    <n v="4.9000000000000004"/>
    <n v="1.6"/>
    <s v="No"/>
    <n v="2"/>
    <x v="3"/>
    <s v="No"/>
    <n v="1"/>
    <x v="0"/>
    <s v="Case handled by AG001"/>
    <s v="August"/>
    <n v="8"/>
    <s v="Q3"/>
    <s v="Low"/>
    <s v="No"/>
    <s v="OK"/>
  </r>
  <r>
    <s v="CC-10232"/>
    <x v="182"/>
    <s v="AG010"/>
    <x v="4"/>
    <x v="2"/>
    <x v="2"/>
    <s v="Phone"/>
    <x v="0"/>
    <n v="7.1"/>
    <n v="4.0999999999999996"/>
    <s v="No"/>
    <n v="2"/>
    <x v="3"/>
    <s v="No"/>
    <n v="0"/>
    <x v="1"/>
    <s v="Case handled by AG010"/>
    <s v="April"/>
    <n v="4"/>
    <s v="Q2"/>
    <s v="Low"/>
    <s v="No"/>
    <s v="OK"/>
  </r>
  <r>
    <s v="CC-10233"/>
    <x v="71"/>
    <s v="AG003"/>
    <x v="6"/>
    <x v="1"/>
    <x v="1"/>
    <s v="Phone"/>
    <x v="5"/>
    <n v="8.1"/>
    <n v="0.8"/>
    <s v="Yes"/>
    <n v="4"/>
    <x v="1"/>
    <s v="No"/>
    <n v="0"/>
    <x v="4"/>
    <s v="Case handled by AG003"/>
    <s v="October"/>
    <n v="10"/>
    <s v="Q4"/>
    <s v="Low"/>
    <s v="No"/>
    <s v="OK"/>
  </r>
  <r>
    <s v="CC-10234"/>
    <x v="183"/>
    <s v="AG009"/>
    <x v="8"/>
    <x v="0"/>
    <x v="0"/>
    <s v="Phone"/>
    <x v="2"/>
    <n v="5.5"/>
    <n v="6.9"/>
    <s v="Yes"/>
    <n v="3"/>
    <x v="3"/>
    <s v="No"/>
    <n v="1"/>
    <x v="2"/>
    <s v="Case handled by AG009"/>
    <s v="July"/>
    <n v="7"/>
    <s v="Q3"/>
    <s v="Low"/>
    <s v="No"/>
    <s v="OK"/>
  </r>
  <r>
    <s v="CC-10235"/>
    <x v="136"/>
    <s v="AG006"/>
    <x v="3"/>
    <x v="2"/>
    <x v="2"/>
    <s v="Phone"/>
    <x v="7"/>
    <n v="4.7"/>
    <n v="2.2999999999999998"/>
    <s v="Yes"/>
    <n v="4"/>
    <x v="2"/>
    <s v="No"/>
    <n v="1"/>
    <x v="2"/>
    <s v="Case handled by AG006"/>
    <s v="February"/>
    <n v="2"/>
    <s v="Q1"/>
    <s v="Low"/>
    <s v="No"/>
    <s v="OK"/>
  </r>
  <r>
    <s v="CC-10236"/>
    <x v="184"/>
    <s v="AG006"/>
    <x v="3"/>
    <x v="2"/>
    <x v="2"/>
    <s v="Phone"/>
    <x v="3"/>
    <n v="5.2"/>
    <n v="3.4"/>
    <s v="No"/>
    <n v="3"/>
    <x v="4"/>
    <s v="Yes"/>
    <n v="2"/>
    <x v="1"/>
    <s v="Case handled by AG006"/>
    <s v="April"/>
    <n v="4"/>
    <s v="Q2"/>
    <s v="Low"/>
    <s v="No"/>
    <s v="OK"/>
  </r>
  <r>
    <s v="CC-10237"/>
    <x v="185"/>
    <s v="AG007"/>
    <x v="2"/>
    <x v="2"/>
    <x v="2"/>
    <s v="Phone"/>
    <x v="3"/>
    <n v="7"/>
    <n v="1.2"/>
    <s v="Yes"/>
    <n v="5"/>
    <x v="0"/>
    <s v="No"/>
    <n v="1"/>
    <x v="4"/>
    <s v="Case handled by AG007"/>
    <s v="March"/>
    <n v="3"/>
    <s v="Q1"/>
    <s v="Low"/>
    <s v="No"/>
    <s v="OK"/>
  </r>
  <r>
    <s v="CC-10238"/>
    <x v="186"/>
    <s v="AG008"/>
    <x v="5"/>
    <x v="1"/>
    <x v="1"/>
    <s v="Email"/>
    <x v="2"/>
    <n v="6.5"/>
    <n v="5.2"/>
    <s v="Yes"/>
    <n v="3"/>
    <x v="0"/>
    <s v="No"/>
    <n v="1"/>
    <x v="3"/>
    <s v="Case handled by AG008"/>
    <s v="June"/>
    <n v="6"/>
    <s v="Q2"/>
    <s v="Low"/>
    <s v="No"/>
    <s v="OK"/>
  </r>
  <r>
    <s v="CC-10239"/>
    <x v="138"/>
    <s v="AG002"/>
    <x v="0"/>
    <x v="0"/>
    <x v="0"/>
    <s v="Phone"/>
    <x v="1"/>
    <n v="7.2"/>
    <n v="4.7"/>
    <s v="Yes"/>
    <n v="4"/>
    <x v="2"/>
    <s v="No"/>
    <n v="1"/>
    <x v="3"/>
    <s v="Case handled by AG002"/>
    <s v="January"/>
    <n v="1"/>
    <s v="Q1"/>
    <s v="Low"/>
    <s v="No"/>
    <s v="OK"/>
  </r>
  <r>
    <s v="CC-10240"/>
    <x v="187"/>
    <s v="AG002"/>
    <x v="0"/>
    <x v="0"/>
    <x v="0"/>
    <s v="Email"/>
    <x v="4"/>
    <n v="7.4"/>
    <n v="1.5"/>
    <s v="Yes"/>
    <n v="5"/>
    <x v="2"/>
    <s v="No"/>
    <n v="0"/>
    <x v="0"/>
    <s v="Case handled by AG002"/>
    <s v="July"/>
    <n v="7"/>
    <s v="Q3"/>
    <s v="Low"/>
    <s v="No"/>
    <s v="OK"/>
  </r>
  <r>
    <s v="CC-10241"/>
    <x v="178"/>
    <s v="AG003"/>
    <x v="6"/>
    <x v="1"/>
    <x v="1"/>
    <s v="Chat"/>
    <x v="1"/>
    <n v="7.7"/>
    <n v="5.6"/>
    <s v="Yes"/>
    <n v="3"/>
    <x v="2"/>
    <s v="No"/>
    <n v="1"/>
    <x v="4"/>
    <s v="Case handled by AG003"/>
    <s v="March"/>
    <n v="3"/>
    <s v="Q1"/>
    <s v="Low"/>
    <s v="No"/>
    <s v="OK"/>
  </r>
  <r>
    <s v="CC-10242"/>
    <x v="114"/>
    <s v="AG006"/>
    <x v="3"/>
    <x v="2"/>
    <x v="2"/>
    <s v="Phone"/>
    <x v="4"/>
    <n v="8"/>
    <n v="5.5"/>
    <s v="Yes"/>
    <n v="4"/>
    <x v="4"/>
    <s v="No"/>
    <n v="0"/>
    <x v="3"/>
    <s v="Case handled by AG006"/>
    <s v="February"/>
    <n v="2"/>
    <s v="Q1"/>
    <s v="Low"/>
    <s v="No"/>
    <s v="OK"/>
  </r>
  <r>
    <s v="CC-10243"/>
    <x v="111"/>
    <s v="AG007"/>
    <x v="2"/>
    <x v="2"/>
    <x v="2"/>
    <s v="Phone"/>
    <x v="2"/>
    <n v="5.9"/>
    <n v="6.4"/>
    <s v="Yes"/>
    <n v="5"/>
    <x v="1"/>
    <s v="No"/>
    <n v="1"/>
    <x v="3"/>
    <s v="Case handled by AG007"/>
    <s v="January"/>
    <n v="1"/>
    <s v="Q1"/>
    <s v="Low"/>
    <s v="No"/>
    <s v="OK"/>
  </r>
  <r>
    <s v="CC-10244"/>
    <x v="96"/>
    <s v="AG005"/>
    <x v="7"/>
    <x v="0"/>
    <x v="0"/>
    <s v="Phone"/>
    <x v="7"/>
    <n v="4.9000000000000004"/>
    <n v="8.4"/>
    <s v="No"/>
    <n v="3"/>
    <x v="1"/>
    <s v="Yes"/>
    <n v="3"/>
    <x v="4"/>
    <s v="Case handled by AG005"/>
    <s v="March"/>
    <n v="3"/>
    <s v="Q1"/>
    <s v="Low"/>
    <s v="No"/>
    <s v="OK"/>
  </r>
  <r>
    <s v="CC-10245"/>
    <x v="113"/>
    <s v="AG006"/>
    <x v="3"/>
    <x v="2"/>
    <x v="2"/>
    <s v="Phone"/>
    <x v="4"/>
    <n v="4.0999999999999996"/>
    <n v="6.6"/>
    <s v="Yes"/>
    <n v="4"/>
    <x v="1"/>
    <s v="No"/>
    <n v="0"/>
    <x v="0"/>
    <s v="Case handled by AG006"/>
    <s v="May"/>
    <n v="5"/>
    <s v="Q2"/>
    <s v="Low"/>
    <s v="No"/>
    <s v="OK"/>
  </r>
  <r>
    <s v="CC-10246"/>
    <x v="138"/>
    <s v="AG008"/>
    <x v="5"/>
    <x v="1"/>
    <x v="1"/>
    <s v="Chat"/>
    <x v="4"/>
    <n v="7.6041237113402103"/>
    <n v="3.5"/>
    <s v="Yes"/>
    <n v="5"/>
    <x v="4"/>
    <s v="No"/>
    <n v="0"/>
    <x v="3"/>
    <s v="Case handled by AG008"/>
    <s v="January"/>
    <n v="1"/>
    <s v="Q1"/>
    <s v="Low"/>
    <s v="No"/>
    <s v="OK"/>
  </r>
  <r>
    <s v="CC-10247"/>
    <x v="188"/>
    <s v="AG005"/>
    <x v="7"/>
    <x v="0"/>
    <x v="0"/>
    <s v="Email"/>
    <x v="7"/>
    <n v="5.4"/>
    <n v="1.3"/>
    <s v="Yes"/>
    <n v="5"/>
    <x v="1"/>
    <s v="No"/>
    <n v="0"/>
    <x v="3"/>
    <s v="Case handled by AG005"/>
    <s v="May"/>
    <n v="5"/>
    <s v="Q2"/>
    <s v="Low"/>
    <s v="No"/>
    <s v="OK"/>
  </r>
  <r>
    <s v="CC-10248"/>
    <x v="103"/>
    <s v="AG009"/>
    <x v="8"/>
    <x v="0"/>
    <x v="0"/>
    <s v="Email"/>
    <x v="3"/>
    <n v="1.3"/>
    <n v="3.8"/>
    <s v="Yes"/>
    <n v="5"/>
    <x v="0"/>
    <s v="No"/>
    <n v="0"/>
    <x v="4"/>
    <s v="Case handled by AG009"/>
    <s v="July"/>
    <n v="7"/>
    <s v="Q3"/>
    <s v="Low"/>
    <s v="No"/>
    <s v="OK"/>
  </r>
  <r>
    <s v="CC-10249"/>
    <x v="189"/>
    <s v="AG006"/>
    <x v="3"/>
    <x v="2"/>
    <x v="2"/>
    <s v="Chat"/>
    <x v="3"/>
    <n v="10.1"/>
    <n v="6.4"/>
    <s v="Yes"/>
    <n v="4"/>
    <x v="0"/>
    <s v="No"/>
    <n v="1"/>
    <x v="4"/>
    <s v="Case handled by AG006"/>
    <s v="May"/>
    <n v="5"/>
    <s v="Q2"/>
    <s v="Medium"/>
    <s v="No"/>
    <s v="OK"/>
  </r>
  <r>
    <s v="CC-10250"/>
    <x v="190"/>
    <s v="AG005"/>
    <x v="7"/>
    <x v="0"/>
    <x v="0"/>
    <s v="Phone"/>
    <x v="2"/>
    <n v="8.9"/>
    <n v="7.3"/>
    <s v="Yes"/>
    <n v="4"/>
    <x v="2"/>
    <s v="No"/>
    <n v="0"/>
    <x v="3"/>
    <s v="Case handled by AG005"/>
    <s v="February"/>
    <n v="2"/>
    <s v="Q1"/>
    <s v="Low"/>
    <s v="No"/>
    <s v="OK"/>
  </r>
  <r>
    <s v="CC-10251"/>
    <x v="46"/>
    <s v="AG010"/>
    <x v="4"/>
    <x v="2"/>
    <x v="2"/>
    <s v="Phone"/>
    <x v="2"/>
    <n v="7.4"/>
    <n v="2.9"/>
    <s v="Yes"/>
    <n v="5"/>
    <x v="0"/>
    <s v="No"/>
    <n v="1"/>
    <x v="2"/>
    <s v="Case handled by AG010"/>
    <s v="January"/>
    <n v="1"/>
    <s v="Q1"/>
    <s v="Low"/>
    <s v="Yes"/>
    <s v="OK"/>
  </r>
  <r>
    <s v="CC-10252"/>
    <x v="191"/>
    <s v="AG003"/>
    <x v="6"/>
    <x v="1"/>
    <x v="1"/>
    <s v="Chat"/>
    <x v="3"/>
    <n v="6.4"/>
    <n v="5.5"/>
    <s v="Yes"/>
    <n v="5"/>
    <x v="2"/>
    <s v="No"/>
    <n v="1"/>
    <x v="4"/>
    <s v="Case handled by AG003"/>
    <s v="February"/>
    <n v="2"/>
    <s v="Q1"/>
    <s v="Low"/>
    <s v="No"/>
    <s v="OK"/>
  </r>
  <r>
    <s v="CC-10253"/>
    <x v="192"/>
    <s v="AG008"/>
    <x v="5"/>
    <x v="1"/>
    <x v="1"/>
    <s v="Phone"/>
    <x v="3"/>
    <n v="6.9"/>
    <n v="5.5"/>
    <s v="Yes"/>
    <n v="5"/>
    <x v="3"/>
    <s v="No"/>
    <n v="0"/>
    <x v="2"/>
    <s v="Case handled by AG008"/>
    <s v="December"/>
    <n v="12"/>
    <s v="Q4"/>
    <s v="Low"/>
    <s v="No"/>
    <s v="OK"/>
  </r>
  <r>
    <s v="CC-10254"/>
    <x v="113"/>
    <s v="AG009"/>
    <x v="8"/>
    <x v="0"/>
    <x v="0"/>
    <s v="Chat"/>
    <x v="4"/>
    <n v="8.8000000000000007"/>
    <n v="5.0999999999999996"/>
    <s v="Yes"/>
    <n v="4"/>
    <x v="3"/>
    <s v="No"/>
    <n v="1"/>
    <x v="1"/>
    <s v="Case handled by AG009"/>
    <s v="May"/>
    <n v="5"/>
    <s v="Q2"/>
    <s v="Low"/>
    <s v="No"/>
    <s v="OK"/>
  </r>
  <r>
    <s v="CC-10255"/>
    <x v="193"/>
    <s v="AG007"/>
    <x v="2"/>
    <x v="2"/>
    <x v="2"/>
    <s v="Chat"/>
    <x v="2"/>
    <n v="4.0999999999999996"/>
    <n v="6"/>
    <s v="Yes"/>
    <n v="5"/>
    <x v="0"/>
    <s v="No"/>
    <n v="1"/>
    <x v="0"/>
    <s v="Case handled by AG007"/>
    <s v="November"/>
    <n v="11"/>
    <s v="Q4"/>
    <s v="Low"/>
    <s v="No"/>
    <s v="OK"/>
  </r>
  <r>
    <s v="CC-10256"/>
    <x v="194"/>
    <s v="AG004"/>
    <x v="1"/>
    <x v="1"/>
    <x v="1"/>
    <s v="Phone"/>
    <x v="4"/>
    <n v="9.4"/>
    <n v="7.2"/>
    <s v="Yes"/>
    <n v="5"/>
    <x v="4"/>
    <s v="No"/>
    <n v="0"/>
    <x v="0"/>
    <s v="Case handled by AG004"/>
    <s v="December"/>
    <n v="12"/>
    <s v="Q4"/>
    <s v="Low"/>
    <s v="No"/>
    <s v="OK"/>
  </r>
  <r>
    <s v="CC-10257"/>
    <x v="195"/>
    <s v="AG004"/>
    <x v="1"/>
    <x v="1"/>
    <x v="1"/>
    <s v="Chat"/>
    <x v="2"/>
    <n v="5.7"/>
    <n v="4.4000000000000004"/>
    <s v="Yes"/>
    <n v="5"/>
    <x v="1"/>
    <s v="No"/>
    <n v="1"/>
    <x v="0"/>
    <s v="Case handled by AG004"/>
    <s v="June"/>
    <n v="6"/>
    <s v="Q2"/>
    <s v="Low"/>
    <s v="No"/>
    <s v="OK"/>
  </r>
  <r>
    <s v="CC-10258"/>
    <x v="110"/>
    <s v="AG006"/>
    <x v="3"/>
    <x v="2"/>
    <x v="2"/>
    <s v="Phone"/>
    <x v="3"/>
    <n v="6"/>
    <n v="5.8"/>
    <s v="No"/>
    <n v="3"/>
    <x v="3"/>
    <s v="No"/>
    <n v="0"/>
    <x v="1"/>
    <s v="Case handled by AG006"/>
    <s v="February"/>
    <n v="2"/>
    <s v="Q1"/>
    <s v="Low"/>
    <s v="No"/>
    <s v="OK"/>
  </r>
  <r>
    <s v="CC-10259"/>
    <x v="196"/>
    <s v="AG002"/>
    <x v="0"/>
    <x v="0"/>
    <x v="0"/>
    <s v="Phone"/>
    <x v="2"/>
    <n v="9.9"/>
    <n v="6.8"/>
    <s v="Yes"/>
    <n v="4"/>
    <x v="2"/>
    <s v="No"/>
    <n v="1"/>
    <x v="0"/>
    <s v="Case handled by AG002"/>
    <s v="June"/>
    <n v="6"/>
    <s v="Q2"/>
    <s v="Low"/>
    <s v="No"/>
    <s v="OK"/>
  </r>
  <r>
    <s v="CC-10260"/>
    <x v="197"/>
    <s v="AG008"/>
    <x v="5"/>
    <x v="1"/>
    <x v="1"/>
    <s v="Phone"/>
    <x v="7"/>
    <n v="5"/>
    <n v="1.7"/>
    <s v="Yes"/>
    <n v="5"/>
    <x v="4"/>
    <s v="No"/>
    <n v="0"/>
    <x v="0"/>
    <s v="Case handled by AG008"/>
    <s v="April"/>
    <n v="4"/>
    <s v="Q2"/>
    <s v="Low"/>
    <s v="No"/>
    <s v="OK"/>
  </r>
  <r>
    <s v="CC-10261"/>
    <x v="140"/>
    <s v="AG003"/>
    <x v="6"/>
    <x v="1"/>
    <x v="1"/>
    <s v="Phone"/>
    <x v="5"/>
    <n v="6.7"/>
    <n v="6"/>
    <s v="No"/>
    <n v="2"/>
    <x v="2"/>
    <s v="Yes"/>
    <n v="0"/>
    <x v="3"/>
    <s v="Case handled by AG003"/>
    <s v="March"/>
    <n v="3"/>
    <s v="Q1"/>
    <s v="Low"/>
    <s v="No"/>
    <s v="OK"/>
  </r>
  <r>
    <s v="CC-10262"/>
    <x v="147"/>
    <s v="AG009"/>
    <x v="8"/>
    <x v="0"/>
    <x v="0"/>
    <s v="Phone"/>
    <x v="3"/>
    <n v="6.2"/>
    <n v="2.2999999999999998"/>
    <s v="Yes"/>
    <n v="4"/>
    <x v="1"/>
    <s v="No"/>
    <n v="1"/>
    <x v="3"/>
    <s v="Case handled by AG009"/>
    <s v="October"/>
    <n v="10"/>
    <s v="Q4"/>
    <s v="Low"/>
    <s v="No"/>
    <s v="OK"/>
  </r>
  <r>
    <s v="CC-10263"/>
    <x v="198"/>
    <s v="AG004"/>
    <x v="1"/>
    <x v="1"/>
    <x v="1"/>
    <s v="Email"/>
    <x v="7"/>
    <n v="7.4"/>
    <n v="5.5"/>
    <s v="Yes"/>
    <n v="4"/>
    <x v="1"/>
    <s v="No"/>
    <n v="0"/>
    <x v="3"/>
    <s v="Case handled by AG004"/>
    <s v="January"/>
    <n v="1"/>
    <s v="Q1"/>
    <s v="Low"/>
    <s v="No"/>
    <s v="OK"/>
  </r>
  <r>
    <s v="CC-10264"/>
    <x v="199"/>
    <s v="AG002"/>
    <x v="0"/>
    <x v="0"/>
    <x v="0"/>
    <s v="Phone"/>
    <x v="7"/>
    <n v="5.9"/>
    <n v="3.3"/>
    <s v="Yes"/>
    <n v="4"/>
    <x v="1"/>
    <s v="No"/>
    <n v="1"/>
    <x v="0"/>
    <s v="Case handled by AG002"/>
    <s v="September"/>
    <n v="9"/>
    <s v="Q3"/>
    <s v="Low"/>
    <s v="No"/>
    <s v="OK"/>
  </r>
  <r>
    <s v="CC-10265"/>
    <x v="168"/>
    <s v="AG007"/>
    <x v="2"/>
    <x v="2"/>
    <x v="2"/>
    <s v="Phone"/>
    <x v="6"/>
    <n v="12.5"/>
    <n v="6.3"/>
    <s v="No"/>
    <n v="5"/>
    <x v="0"/>
    <s v="No"/>
    <n v="0"/>
    <x v="3"/>
    <s v="Case handled by AG007"/>
    <s v="April"/>
    <n v="4"/>
    <s v="Q2"/>
    <s v="Medium"/>
    <s v="No"/>
    <s v="OK"/>
  </r>
  <r>
    <s v="CC-10266"/>
    <x v="76"/>
    <s v="AG002"/>
    <x v="0"/>
    <x v="0"/>
    <x v="0"/>
    <s v="Chat"/>
    <x v="4"/>
    <n v="8.4"/>
    <n v="2.5"/>
    <s v="Yes"/>
    <n v="5"/>
    <x v="1"/>
    <s v="No"/>
    <n v="1"/>
    <x v="0"/>
    <s v="Case handled by AG002"/>
    <s v="August"/>
    <n v="8"/>
    <s v="Q3"/>
    <s v="Low"/>
    <s v="No"/>
    <s v="OK"/>
  </r>
  <r>
    <s v="CC-10267"/>
    <x v="140"/>
    <s v="AG004"/>
    <x v="1"/>
    <x v="1"/>
    <x v="1"/>
    <s v="Email"/>
    <x v="4"/>
    <n v="10.1"/>
    <n v="0.7"/>
    <s v="Yes"/>
    <n v="4"/>
    <x v="4"/>
    <s v="No"/>
    <n v="1"/>
    <x v="0"/>
    <s v="Case handled by AG004"/>
    <s v="March"/>
    <n v="3"/>
    <s v="Q1"/>
    <s v="Medium"/>
    <s v="No"/>
    <s v="OK"/>
  </r>
  <r>
    <s v="CC-10268"/>
    <x v="194"/>
    <s v="AG005"/>
    <x v="7"/>
    <x v="0"/>
    <x v="0"/>
    <s v="Chat"/>
    <x v="0"/>
    <n v="7.4"/>
    <n v="5.5"/>
    <s v="Yes"/>
    <n v="5"/>
    <x v="4"/>
    <s v="No"/>
    <n v="0"/>
    <x v="1"/>
    <s v="Case handled by AG005"/>
    <s v="December"/>
    <n v="12"/>
    <s v="Q4"/>
    <s v="Low"/>
    <s v="No"/>
    <s v="OK"/>
  </r>
  <r>
    <s v="CC-10269"/>
    <x v="200"/>
    <s v="AG003"/>
    <x v="6"/>
    <x v="1"/>
    <x v="1"/>
    <s v="Phone"/>
    <x v="1"/>
    <n v="7.5"/>
    <n v="3"/>
    <s v="No"/>
    <n v="3"/>
    <x v="2"/>
    <s v="No"/>
    <n v="1"/>
    <x v="3"/>
    <s v="Case handled by AG003"/>
    <s v="December"/>
    <n v="12"/>
    <s v="Q4"/>
    <s v="Low"/>
    <s v="No"/>
    <s v="OK"/>
  </r>
  <r>
    <s v="CC-10270"/>
    <x v="121"/>
    <s v="AG008"/>
    <x v="5"/>
    <x v="1"/>
    <x v="1"/>
    <s v="Chat"/>
    <x v="7"/>
    <n v="12.7"/>
    <n v="5.6"/>
    <s v="No"/>
    <n v="5"/>
    <x v="4"/>
    <s v="No"/>
    <n v="1"/>
    <x v="4"/>
    <s v="Case handled by AG008"/>
    <s v="July"/>
    <n v="7"/>
    <s v="Q3"/>
    <s v="Medium"/>
    <s v="No"/>
    <s v="OK"/>
  </r>
  <r>
    <s v="CC-10271"/>
    <x v="201"/>
    <s v="AG001"/>
    <x v="9"/>
    <x v="0"/>
    <x v="0"/>
    <s v="Email"/>
    <x v="2"/>
    <n v="12"/>
    <n v="1.2"/>
    <s v="No"/>
    <n v="2"/>
    <x v="3"/>
    <s v="No"/>
    <n v="1"/>
    <x v="2"/>
    <s v="Case handled by AG001"/>
    <s v="October"/>
    <n v="10"/>
    <s v="Q4"/>
    <s v="Medium"/>
    <s v="No"/>
    <s v="OK"/>
  </r>
  <r>
    <s v="CC-10272"/>
    <x v="202"/>
    <s v="AG004"/>
    <x v="1"/>
    <x v="1"/>
    <x v="1"/>
    <s v="Chat"/>
    <x v="6"/>
    <n v="5.4"/>
    <n v="4.0999999999999996"/>
    <s v="Yes"/>
    <n v="4"/>
    <x v="0"/>
    <s v="No"/>
    <n v="0"/>
    <x v="0"/>
    <s v="Case handled by AG004"/>
    <s v="August"/>
    <n v="8"/>
    <s v="Q3"/>
    <s v="Low"/>
    <s v="No"/>
    <s v="OK"/>
  </r>
  <r>
    <s v="CC-10273"/>
    <x v="203"/>
    <s v="AG002"/>
    <x v="0"/>
    <x v="0"/>
    <x v="0"/>
    <s v="Chat"/>
    <x v="0"/>
    <n v="4"/>
    <n v="1.3"/>
    <s v="No"/>
    <n v="1"/>
    <x v="2"/>
    <s v="No"/>
    <n v="0"/>
    <x v="3"/>
    <s v="Case handled by AG002"/>
    <s v="January"/>
    <n v="1"/>
    <s v="Q1"/>
    <s v="Low"/>
    <s v="No"/>
    <s v="OK"/>
  </r>
  <r>
    <s v="CC-10274"/>
    <x v="204"/>
    <s v="AG003"/>
    <x v="6"/>
    <x v="1"/>
    <x v="1"/>
    <s v="Phone"/>
    <x v="1"/>
    <n v="9.9"/>
    <n v="2.9"/>
    <s v="Yes"/>
    <n v="5"/>
    <x v="0"/>
    <s v="No"/>
    <n v="1"/>
    <x v="2"/>
    <s v="Case handled by AG003"/>
    <s v="April"/>
    <n v="4"/>
    <s v="Q2"/>
    <s v="Low"/>
    <s v="No"/>
    <s v="OK"/>
  </r>
  <r>
    <s v="CC-10275"/>
    <x v="137"/>
    <s v="AG003"/>
    <x v="6"/>
    <x v="1"/>
    <x v="1"/>
    <s v="Phone"/>
    <x v="0"/>
    <n v="12"/>
    <n v="4.9000000000000004"/>
    <s v="Yes"/>
    <n v="5"/>
    <x v="3"/>
    <s v="No"/>
    <n v="1"/>
    <x v="2"/>
    <s v="Case handled by AG003"/>
    <s v="July"/>
    <n v="7"/>
    <s v="Q3"/>
    <s v="Medium"/>
    <s v="No"/>
    <s v="OK"/>
  </r>
  <r>
    <s v="CC-10276"/>
    <x v="160"/>
    <s v="AG002"/>
    <x v="0"/>
    <x v="0"/>
    <x v="0"/>
    <s v="Phone"/>
    <x v="3"/>
    <n v="9.4"/>
    <n v="5.0999999999999996"/>
    <s v="Yes"/>
    <n v="5"/>
    <x v="2"/>
    <s v="No"/>
    <n v="0"/>
    <x v="2"/>
    <s v="Case handled by AG002"/>
    <s v="September"/>
    <n v="9"/>
    <s v="Q3"/>
    <s v="Low"/>
    <s v="No"/>
    <s v="OK"/>
  </r>
  <r>
    <s v="CC-10277"/>
    <x v="205"/>
    <s v="AG003"/>
    <x v="6"/>
    <x v="1"/>
    <x v="1"/>
    <s v="Phone"/>
    <x v="1"/>
    <n v="5.9"/>
    <n v="4.2"/>
    <s v="No"/>
    <n v="2"/>
    <x v="3"/>
    <s v="No"/>
    <n v="0"/>
    <x v="4"/>
    <s v="Case handled by AG003"/>
    <s v="December"/>
    <n v="12"/>
    <s v="Q4"/>
    <s v="Low"/>
    <s v="No"/>
    <s v="OK"/>
  </r>
  <r>
    <s v="CC-10278"/>
    <x v="86"/>
    <s v="AG003"/>
    <x v="6"/>
    <x v="1"/>
    <x v="1"/>
    <s v="Phone"/>
    <x v="5"/>
    <n v="5.2"/>
    <n v="1.7"/>
    <s v="No"/>
    <n v="2"/>
    <x v="3"/>
    <s v="No"/>
    <n v="0"/>
    <x v="3"/>
    <s v="Case handled by AG003"/>
    <s v="July"/>
    <n v="7"/>
    <s v="Q3"/>
    <s v="Low"/>
    <s v="No"/>
    <s v="OK"/>
  </r>
  <r>
    <s v="CC-10279"/>
    <x v="80"/>
    <s v="AG010"/>
    <x v="4"/>
    <x v="2"/>
    <x v="2"/>
    <s v="Chat"/>
    <x v="6"/>
    <n v="5.7"/>
    <n v="0.3"/>
    <s v="No"/>
    <n v="2"/>
    <x v="2"/>
    <s v="Yes"/>
    <n v="0"/>
    <x v="0"/>
    <s v="Case handled by AG010"/>
    <s v="July"/>
    <n v="7"/>
    <s v="Q3"/>
    <s v="Low"/>
    <s v="No"/>
    <s v="OK"/>
  </r>
  <r>
    <s v="CC-10280"/>
    <x v="206"/>
    <s v="AG003"/>
    <x v="6"/>
    <x v="1"/>
    <x v="1"/>
    <s v="Phone"/>
    <x v="5"/>
    <n v="8.1"/>
    <n v="6.9"/>
    <s v="No"/>
    <n v="3"/>
    <x v="2"/>
    <s v="No"/>
    <n v="0"/>
    <x v="4"/>
    <s v="Case handled by AG003"/>
    <s v="June"/>
    <n v="6"/>
    <s v="Q2"/>
    <s v="Low"/>
    <s v="No"/>
    <s v="OK"/>
  </r>
  <r>
    <s v="CC-10281"/>
    <x v="162"/>
    <s v="AG001"/>
    <x v="9"/>
    <x v="0"/>
    <x v="0"/>
    <s v="Phone"/>
    <x v="0"/>
    <n v="7.6041237113402103"/>
    <n v="0.5"/>
    <s v="No"/>
    <n v="3"/>
    <x v="4"/>
    <s v="Yes"/>
    <n v="3"/>
    <x v="0"/>
    <s v="Case handled by AG001"/>
    <s v="May"/>
    <n v="5"/>
    <s v="Q2"/>
    <s v="Low"/>
    <s v="No"/>
    <s v="OK"/>
  </r>
  <r>
    <s v="CC-10282"/>
    <x v="142"/>
    <s v="AG003"/>
    <x v="6"/>
    <x v="1"/>
    <x v="1"/>
    <s v="Phone"/>
    <x v="0"/>
    <n v="3.7"/>
    <n v="6.5"/>
    <s v="Yes"/>
    <n v="4"/>
    <x v="1"/>
    <s v="No"/>
    <n v="0"/>
    <x v="3"/>
    <s v="Case handled by AG003"/>
    <s v="June"/>
    <n v="6"/>
    <s v="Q2"/>
    <s v="Low"/>
    <s v="No"/>
    <s v="OK"/>
  </r>
  <r>
    <s v="CC-10283"/>
    <x v="106"/>
    <s v="AG001"/>
    <x v="9"/>
    <x v="0"/>
    <x v="0"/>
    <s v="Chat"/>
    <x v="2"/>
    <n v="7.9"/>
    <n v="4.5999999999999996"/>
    <s v="No"/>
    <n v="2"/>
    <x v="2"/>
    <s v="No"/>
    <n v="1"/>
    <x v="0"/>
    <s v="Case handled by AG001"/>
    <s v="February"/>
    <n v="2"/>
    <s v="Q1"/>
    <s v="Low"/>
    <s v="No"/>
    <s v="OK"/>
  </r>
  <r>
    <s v="CC-10284"/>
    <x v="124"/>
    <s v="AG009"/>
    <x v="8"/>
    <x v="0"/>
    <x v="0"/>
    <s v="Email"/>
    <x v="6"/>
    <n v="6.3"/>
    <n v="3.7"/>
    <s v="No"/>
    <n v="2"/>
    <x v="2"/>
    <s v="Yes"/>
    <n v="1"/>
    <x v="1"/>
    <s v="Case handled by AG009"/>
    <s v="February"/>
    <n v="2"/>
    <s v="Q1"/>
    <s v="Low"/>
    <s v="No"/>
    <s v="OK"/>
  </r>
  <r>
    <s v="CC-10285"/>
    <x v="71"/>
    <s v="AG002"/>
    <x v="0"/>
    <x v="0"/>
    <x v="0"/>
    <s v="Phone"/>
    <x v="3"/>
    <n v="6.8"/>
    <n v="6"/>
    <s v="Yes"/>
    <n v="5"/>
    <x v="2"/>
    <s v="No"/>
    <n v="0"/>
    <x v="2"/>
    <s v="Case handled by AG002"/>
    <s v="October"/>
    <n v="10"/>
    <s v="Q4"/>
    <s v="Low"/>
    <s v="No"/>
    <s v="OK"/>
  </r>
  <r>
    <s v="CC-10286"/>
    <x v="191"/>
    <s v="AG008"/>
    <x v="5"/>
    <x v="1"/>
    <x v="1"/>
    <s v="Phone"/>
    <x v="4"/>
    <n v="7.2"/>
    <n v="3.6"/>
    <s v="Yes"/>
    <n v="5"/>
    <x v="0"/>
    <s v="No"/>
    <n v="0"/>
    <x v="2"/>
    <s v="Case handled by AG008"/>
    <s v="February"/>
    <n v="2"/>
    <s v="Q1"/>
    <s v="Low"/>
    <s v="No"/>
    <s v="OK"/>
  </r>
  <r>
    <s v="CC-10287"/>
    <x v="207"/>
    <s v="AG008"/>
    <x v="5"/>
    <x v="1"/>
    <x v="1"/>
    <s v="Phone"/>
    <x v="4"/>
    <n v="11.5"/>
    <n v="3.3"/>
    <s v="Yes"/>
    <n v="5"/>
    <x v="4"/>
    <s v="No"/>
    <n v="1"/>
    <x v="1"/>
    <s v="Case handled by AG008"/>
    <s v="March"/>
    <n v="3"/>
    <s v="Q1"/>
    <s v="Medium"/>
    <s v="No"/>
    <s v="OK"/>
  </r>
  <r>
    <s v="CC-10288"/>
    <x v="208"/>
    <s v="AG001"/>
    <x v="9"/>
    <x v="0"/>
    <x v="0"/>
    <s v="Phone"/>
    <x v="7"/>
    <n v="6.4"/>
    <n v="5.8"/>
    <s v="Yes"/>
    <n v="4"/>
    <x v="2"/>
    <s v="No"/>
    <n v="1"/>
    <x v="0"/>
    <s v="Case handled by AG001"/>
    <s v="March"/>
    <n v="3"/>
    <s v="Q1"/>
    <s v="Low"/>
    <s v="No"/>
    <s v="OK"/>
  </r>
  <r>
    <s v="CC-10289"/>
    <x v="199"/>
    <s v="AG006"/>
    <x v="3"/>
    <x v="2"/>
    <x v="2"/>
    <s v="Email"/>
    <x v="3"/>
    <n v="13.6"/>
    <n v="5.4"/>
    <s v="Yes"/>
    <n v="3"/>
    <x v="3"/>
    <s v="No"/>
    <n v="1"/>
    <x v="2"/>
    <s v="Case handled by AG006"/>
    <s v="September"/>
    <n v="9"/>
    <s v="Q3"/>
    <s v="Medium"/>
    <s v="No"/>
    <s v="OK"/>
  </r>
  <r>
    <s v="CC-10290"/>
    <x v="209"/>
    <s v="AG001"/>
    <x v="9"/>
    <x v="0"/>
    <x v="0"/>
    <s v="Phone"/>
    <x v="2"/>
    <n v="13.8"/>
    <n v="5.0999999999999996"/>
    <s v="No"/>
    <n v="3"/>
    <x v="3"/>
    <s v="Yes"/>
    <n v="1"/>
    <x v="1"/>
    <s v="Case handled by AG001"/>
    <s v="September"/>
    <n v="9"/>
    <s v="Q3"/>
    <s v="Medium"/>
    <s v="No"/>
    <s v="OK"/>
  </r>
  <r>
    <s v="CC-10291"/>
    <x v="210"/>
    <s v="AG004"/>
    <x v="1"/>
    <x v="1"/>
    <x v="1"/>
    <s v="Email"/>
    <x v="0"/>
    <n v="3.9"/>
    <n v="5.6"/>
    <s v="Yes"/>
    <n v="3"/>
    <x v="3"/>
    <s v="No"/>
    <n v="1"/>
    <x v="2"/>
    <s v="Case handled by AG004"/>
    <s v="June"/>
    <n v="6"/>
    <s v="Q2"/>
    <s v="Low"/>
    <s v="No"/>
    <s v="OK"/>
  </r>
  <r>
    <s v="CC-10292"/>
    <x v="211"/>
    <s v="AG009"/>
    <x v="8"/>
    <x v="0"/>
    <x v="0"/>
    <s v="Phone"/>
    <x v="3"/>
    <n v="15.4"/>
    <n v="3.4"/>
    <s v="No"/>
    <n v="2"/>
    <x v="1"/>
    <s v="No"/>
    <n v="1"/>
    <x v="4"/>
    <s v="Case handled by AG009"/>
    <s v="April"/>
    <n v="4"/>
    <s v="Q2"/>
    <s v="Medium"/>
    <s v="No"/>
    <s v="OK"/>
  </r>
  <r>
    <s v="CC-10293"/>
    <x v="212"/>
    <s v="AG001"/>
    <x v="9"/>
    <x v="0"/>
    <x v="0"/>
    <s v="Phone"/>
    <x v="7"/>
    <n v="6.3"/>
    <n v="5.2"/>
    <s v="Yes"/>
    <n v="5"/>
    <x v="3"/>
    <s v="No"/>
    <n v="0"/>
    <x v="3"/>
    <s v="Case handled by AG001"/>
    <s v="August"/>
    <n v="8"/>
    <s v="Q3"/>
    <s v="Low"/>
    <s v="No"/>
    <s v="OK"/>
  </r>
  <r>
    <s v="CC-10294"/>
    <x v="213"/>
    <s v="AG004"/>
    <x v="1"/>
    <x v="1"/>
    <x v="1"/>
    <s v="Phone"/>
    <x v="2"/>
    <n v="12.1"/>
    <n v="7.8"/>
    <s v="No"/>
    <n v="1"/>
    <x v="4"/>
    <s v="No"/>
    <n v="0"/>
    <x v="4"/>
    <s v="Case handled by AG004"/>
    <s v="October"/>
    <n v="10"/>
    <s v="Q4"/>
    <s v="Medium"/>
    <s v="No"/>
    <s v="OK"/>
  </r>
  <r>
    <s v="CC-10295"/>
    <x v="214"/>
    <s v="AG004"/>
    <x v="1"/>
    <x v="1"/>
    <x v="1"/>
    <s v="Phone"/>
    <x v="3"/>
    <n v="5.8"/>
    <n v="3.7"/>
    <s v="Yes"/>
    <n v="4"/>
    <x v="0"/>
    <s v="No"/>
    <n v="0"/>
    <x v="1"/>
    <s v="Case handled by AG004"/>
    <s v="February"/>
    <n v="2"/>
    <s v="Q1"/>
    <s v="Low"/>
    <s v="No"/>
    <s v="OK"/>
  </r>
  <r>
    <s v="CC-10296"/>
    <x v="215"/>
    <s v="AG009"/>
    <x v="8"/>
    <x v="0"/>
    <x v="0"/>
    <s v="Phone"/>
    <x v="4"/>
    <n v="2.6"/>
    <n v="6.2"/>
    <s v="Yes"/>
    <n v="4"/>
    <x v="2"/>
    <s v="No"/>
    <n v="0"/>
    <x v="0"/>
    <s v="Case handled by AG009"/>
    <s v="April"/>
    <n v="4"/>
    <s v="Q2"/>
    <s v="Low"/>
    <s v="No"/>
    <s v="OK"/>
  </r>
  <r>
    <s v="CC-10297"/>
    <x v="136"/>
    <s v="AG010"/>
    <x v="4"/>
    <x v="2"/>
    <x v="2"/>
    <s v="Phone"/>
    <x v="6"/>
    <n v="5.0999999999999996"/>
    <n v="3.1"/>
    <s v="Yes"/>
    <n v="5"/>
    <x v="2"/>
    <s v="No"/>
    <n v="0"/>
    <x v="4"/>
    <s v="Case handled by AG010"/>
    <s v="February"/>
    <n v="2"/>
    <s v="Q1"/>
    <s v="Low"/>
    <s v="No"/>
    <s v="OK"/>
  </r>
  <r>
    <s v="CC-10298"/>
    <x v="95"/>
    <s v="AG006"/>
    <x v="3"/>
    <x v="2"/>
    <x v="2"/>
    <s v="Phone"/>
    <x v="4"/>
    <n v="7"/>
    <n v="5.4"/>
    <s v="No"/>
    <n v="2"/>
    <x v="2"/>
    <s v="Yes"/>
    <n v="0"/>
    <x v="1"/>
    <s v="Case handled by AG006"/>
    <s v="December"/>
    <n v="12"/>
    <s v="Q4"/>
    <s v="Low"/>
    <s v="No"/>
    <s v="OK"/>
  </r>
  <r>
    <s v="CC-10299"/>
    <x v="216"/>
    <s v="AG006"/>
    <x v="3"/>
    <x v="2"/>
    <x v="2"/>
    <s v="Phone"/>
    <x v="7"/>
    <n v="4.9000000000000004"/>
    <n v="5.4"/>
    <s v="Yes"/>
    <n v="5"/>
    <x v="4"/>
    <s v="No"/>
    <n v="0"/>
    <x v="3"/>
    <s v="Case handled by AG006"/>
    <s v="August"/>
    <n v="8"/>
    <s v="Q3"/>
    <s v="Low"/>
    <s v="No"/>
    <s v="OK"/>
  </r>
  <r>
    <s v="CC-10300"/>
    <x v="217"/>
    <s v="AG002"/>
    <x v="0"/>
    <x v="0"/>
    <x v="0"/>
    <s v="Phone"/>
    <x v="4"/>
    <n v="10.5"/>
    <n v="6.5"/>
    <s v="Yes"/>
    <n v="5"/>
    <x v="0"/>
    <s v="No"/>
    <n v="0"/>
    <x v="1"/>
    <s v="Case handled by AG002"/>
    <s v="March"/>
    <n v="3"/>
    <s v="Q1"/>
    <s v="Medium"/>
    <s v="No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7:J32" firstHeaderRow="1" firstDataRow="2" firstDataCol="1" rowPageCount="1" colPageCount="1"/>
  <pivotFields count="23"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9">
        <item x="4"/>
        <item x="0"/>
        <item x="6"/>
        <item x="7"/>
        <item x="2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5" hier="-1"/>
  </pageField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5:O13" firstHeaderRow="1" firstDataRow="2" firstDataCol="1" rowPageCount="3" colPageCount="1"/>
  <pivotFields count="23">
    <pivotField dataField="1" showAll="0"/>
    <pivotField axis="axisPage" showAll="0">
      <items count="219">
        <item x="127"/>
        <item x="111"/>
        <item x="176"/>
        <item x="154"/>
        <item x="31"/>
        <item x="138"/>
        <item x="198"/>
        <item x="131"/>
        <item x="161"/>
        <item x="32"/>
        <item x="152"/>
        <item x="54"/>
        <item x="203"/>
        <item x="49"/>
        <item x="159"/>
        <item x="27"/>
        <item x="125"/>
        <item x="174"/>
        <item x="22"/>
        <item x="106"/>
        <item x="136"/>
        <item x="114"/>
        <item x="70"/>
        <item x="124"/>
        <item x="141"/>
        <item x="74"/>
        <item x="92"/>
        <item x="1"/>
        <item x="151"/>
        <item x="18"/>
        <item x="190"/>
        <item x="214"/>
        <item x="11"/>
        <item x="110"/>
        <item x="191"/>
        <item x="34"/>
        <item x="16"/>
        <item x="13"/>
        <item x="208"/>
        <item x="217"/>
        <item x="81"/>
        <item x="169"/>
        <item x="96"/>
        <item x="9"/>
        <item x="140"/>
        <item x="146"/>
        <item x="8"/>
        <item x="185"/>
        <item x="2"/>
        <item x="207"/>
        <item x="178"/>
        <item x="67"/>
        <item x="72"/>
        <item x="197"/>
        <item x="75"/>
        <item x="180"/>
        <item x="115"/>
        <item x="51"/>
        <item x="204"/>
        <item x="170"/>
        <item x="182"/>
        <item x="168"/>
        <item x="47"/>
        <item x="41"/>
        <item x="60"/>
        <item x="211"/>
        <item x="184"/>
        <item x="177"/>
        <item x="215"/>
        <item x="171"/>
        <item x="39"/>
        <item x="128"/>
        <item x="188"/>
        <item x="113"/>
        <item x="145"/>
        <item x="119"/>
        <item x="189"/>
        <item x="100"/>
        <item x="130"/>
        <item x="58"/>
        <item x="101"/>
        <item x="21"/>
        <item x="158"/>
        <item x="108"/>
        <item x="44"/>
        <item x="20"/>
        <item x="117"/>
        <item x="156"/>
        <item x="5"/>
        <item x="139"/>
        <item x="162"/>
        <item x="6"/>
        <item x="15"/>
        <item x="88"/>
        <item x="63"/>
        <item x="196"/>
        <item x="186"/>
        <item x="206"/>
        <item x="7"/>
        <item x="142"/>
        <item x="210"/>
        <item x="195"/>
        <item x="79"/>
        <item x="105"/>
        <item x="157"/>
        <item x="30"/>
        <item x="55"/>
        <item x="52"/>
        <item x="137"/>
        <item x="85"/>
        <item x="121"/>
        <item x="86"/>
        <item x="10"/>
        <item x="187"/>
        <item x="183"/>
        <item x="153"/>
        <item x="93"/>
        <item x="112"/>
        <item x="133"/>
        <item x="33"/>
        <item x="103"/>
        <item x="59"/>
        <item x="45"/>
        <item x="82"/>
        <item x="80"/>
        <item x="3"/>
        <item x="167"/>
        <item x="4"/>
        <item x="134"/>
        <item x="202"/>
        <item x="150"/>
        <item x="56"/>
        <item x="76"/>
        <item x="26"/>
        <item x="163"/>
        <item x="43"/>
        <item x="212"/>
        <item x="155"/>
        <item x="19"/>
        <item x="216"/>
        <item x="149"/>
        <item x="50"/>
        <item x="132"/>
        <item x="17"/>
        <item x="181"/>
        <item x="160"/>
        <item x="77"/>
        <item x="97"/>
        <item x="65"/>
        <item x="90"/>
        <item x="102"/>
        <item x="104"/>
        <item x="78"/>
        <item x="209"/>
        <item x="23"/>
        <item x="199"/>
        <item x="35"/>
        <item x="143"/>
        <item x="129"/>
        <item x="109"/>
        <item x="48"/>
        <item x="62"/>
        <item x="83"/>
        <item x="69"/>
        <item x="213"/>
        <item x="61"/>
        <item x="99"/>
        <item x="37"/>
        <item x="173"/>
        <item x="120"/>
        <item x="147"/>
        <item x="165"/>
        <item x="57"/>
        <item x="89"/>
        <item x="64"/>
        <item x="53"/>
        <item x="107"/>
        <item x="201"/>
        <item x="71"/>
        <item x="25"/>
        <item x="24"/>
        <item x="14"/>
        <item x="38"/>
        <item x="29"/>
        <item x="66"/>
        <item x="172"/>
        <item x="135"/>
        <item x="118"/>
        <item x="148"/>
        <item x="179"/>
        <item x="36"/>
        <item x="91"/>
        <item x="40"/>
        <item x="84"/>
        <item x="193"/>
        <item x="12"/>
        <item x="116"/>
        <item x="175"/>
        <item x="126"/>
        <item x="200"/>
        <item x="144"/>
        <item x="164"/>
        <item x="87"/>
        <item x="73"/>
        <item x="94"/>
        <item x="122"/>
        <item x="123"/>
        <item x="166"/>
        <item x="98"/>
        <item x="205"/>
        <item x="192"/>
        <item x="95"/>
        <item x="194"/>
        <item x="68"/>
        <item x="28"/>
        <item x="42"/>
        <item x="0"/>
        <item x="46"/>
        <item t="default"/>
      </items>
    </pivotField>
    <pivotField showAll="0"/>
    <pivotField axis="axisPage" multipleItemSelectionAllowed="1" showAll="0">
      <items count="11">
        <item x="9"/>
        <item h="1" x="0"/>
        <item h="1" x="6"/>
        <item h="1" x="1"/>
        <item h="1" x="7"/>
        <item h="1" x="3"/>
        <item h="1" x="2"/>
        <item h="1" x="5"/>
        <item h="1" x="8"/>
        <item h="1" x="4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9">
        <item x="4"/>
        <item x="0"/>
        <item x="6"/>
        <item x="7"/>
        <item x="2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7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1" hier="-1"/>
    <pageField fld="5" hier="-1"/>
    <pageField fld="3" hier="-1"/>
  </pageField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2:C23" firstHeaderRow="0" firstDataRow="1" firstDataCol="1" rowPageCount="1" colPageCount="1"/>
  <pivotFields count="23">
    <pivotField showAll="0"/>
    <pivotField axis="axisPage" showAll="0">
      <items count="219">
        <item x="127"/>
        <item x="111"/>
        <item x="176"/>
        <item x="154"/>
        <item x="31"/>
        <item x="138"/>
        <item x="198"/>
        <item x="131"/>
        <item x="161"/>
        <item x="32"/>
        <item x="152"/>
        <item x="54"/>
        <item x="203"/>
        <item x="49"/>
        <item x="159"/>
        <item x="27"/>
        <item x="125"/>
        <item x="174"/>
        <item x="22"/>
        <item x="106"/>
        <item x="136"/>
        <item x="114"/>
        <item x="70"/>
        <item x="124"/>
        <item x="141"/>
        <item x="74"/>
        <item x="92"/>
        <item x="1"/>
        <item x="151"/>
        <item x="18"/>
        <item x="190"/>
        <item x="214"/>
        <item x="11"/>
        <item x="110"/>
        <item x="191"/>
        <item x="34"/>
        <item x="16"/>
        <item x="13"/>
        <item x="208"/>
        <item x="217"/>
        <item x="81"/>
        <item x="169"/>
        <item x="96"/>
        <item x="9"/>
        <item x="140"/>
        <item x="146"/>
        <item x="8"/>
        <item x="185"/>
        <item x="2"/>
        <item x="207"/>
        <item x="178"/>
        <item x="67"/>
        <item x="72"/>
        <item x="197"/>
        <item x="75"/>
        <item x="180"/>
        <item x="115"/>
        <item x="51"/>
        <item x="204"/>
        <item x="170"/>
        <item x="182"/>
        <item x="168"/>
        <item x="47"/>
        <item x="41"/>
        <item x="60"/>
        <item x="211"/>
        <item x="184"/>
        <item x="177"/>
        <item x="215"/>
        <item x="171"/>
        <item x="39"/>
        <item x="128"/>
        <item x="188"/>
        <item x="113"/>
        <item x="145"/>
        <item x="119"/>
        <item x="189"/>
        <item x="100"/>
        <item x="130"/>
        <item x="58"/>
        <item x="101"/>
        <item x="21"/>
        <item x="158"/>
        <item x="108"/>
        <item x="44"/>
        <item x="20"/>
        <item x="117"/>
        <item x="156"/>
        <item x="5"/>
        <item x="139"/>
        <item x="162"/>
        <item x="6"/>
        <item x="15"/>
        <item x="88"/>
        <item x="63"/>
        <item x="196"/>
        <item x="186"/>
        <item x="206"/>
        <item x="7"/>
        <item x="142"/>
        <item x="210"/>
        <item x="195"/>
        <item x="79"/>
        <item x="105"/>
        <item x="157"/>
        <item x="30"/>
        <item x="55"/>
        <item x="52"/>
        <item x="137"/>
        <item x="85"/>
        <item x="121"/>
        <item x="86"/>
        <item x="10"/>
        <item x="187"/>
        <item x="183"/>
        <item x="153"/>
        <item x="93"/>
        <item x="112"/>
        <item x="133"/>
        <item x="33"/>
        <item x="103"/>
        <item x="59"/>
        <item x="45"/>
        <item x="82"/>
        <item x="80"/>
        <item x="3"/>
        <item x="167"/>
        <item x="4"/>
        <item x="134"/>
        <item x="202"/>
        <item x="150"/>
        <item x="56"/>
        <item x="76"/>
        <item x="26"/>
        <item x="163"/>
        <item x="43"/>
        <item x="212"/>
        <item x="155"/>
        <item x="19"/>
        <item x="216"/>
        <item x="149"/>
        <item x="50"/>
        <item x="132"/>
        <item x="17"/>
        <item x="181"/>
        <item x="160"/>
        <item x="77"/>
        <item x="97"/>
        <item x="65"/>
        <item x="90"/>
        <item x="102"/>
        <item x="104"/>
        <item x="78"/>
        <item x="209"/>
        <item x="23"/>
        <item x="199"/>
        <item x="35"/>
        <item x="143"/>
        <item x="129"/>
        <item x="109"/>
        <item x="48"/>
        <item x="62"/>
        <item x="83"/>
        <item x="69"/>
        <item x="213"/>
        <item x="61"/>
        <item x="99"/>
        <item x="37"/>
        <item x="173"/>
        <item x="120"/>
        <item x="147"/>
        <item x="165"/>
        <item x="57"/>
        <item x="89"/>
        <item x="64"/>
        <item x="53"/>
        <item x="107"/>
        <item x="201"/>
        <item x="71"/>
        <item x="25"/>
        <item x="24"/>
        <item x="14"/>
        <item x="38"/>
        <item x="29"/>
        <item x="66"/>
        <item x="172"/>
        <item x="135"/>
        <item x="118"/>
        <item x="148"/>
        <item x="179"/>
        <item x="36"/>
        <item x="91"/>
        <item x="40"/>
        <item x="84"/>
        <item x="193"/>
        <item x="12"/>
        <item x="116"/>
        <item x="175"/>
        <item x="126"/>
        <item x="200"/>
        <item x="144"/>
        <item x="164"/>
        <item x="87"/>
        <item x="73"/>
        <item x="94"/>
        <item x="122"/>
        <item x="123"/>
        <item x="166"/>
        <item x="98"/>
        <item x="205"/>
        <item x="192"/>
        <item x="95"/>
        <item x="194"/>
        <item x="68"/>
        <item x="28"/>
        <item x="42"/>
        <item x="0"/>
        <item x="46"/>
        <item t="default"/>
      </items>
    </pivotField>
    <pivotField showAll="0"/>
    <pivotField axis="axisRow" showAll="0">
      <items count="11">
        <item x="9"/>
        <item x="0"/>
        <item x="6"/>
        <item x="1"/>
        <item x="7"/>
        <item x="3"/>
        <item x="2"/>
        <item x="5"/>
        <item x="8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Average of Handle_Time_Min" fld="8" subtotal="average" baseField="3" baseItem="0"/>
    <dataField name="Average of CSAT_Score" fld="11" subtotal="average" baseField="3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G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axis="axisCol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ase_ID" fld="0" subtotal="count" showDataAs="percentOfRow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1"/>
  <sheetViews>
    <sheetView workbookViewId="0">
      <selection activeCell="L2" sqref="L2"/>
    </sheetView>
  </sheetViews>
  <sheetFormatPr defaultRowHeight="15" x14ac:dyDescent="0.25"/>
  <cols>
    <col min="2" max="2" width="10.140625" bestFit="1" customWidth="1"/>
    <col min="4" max="4" width="17" bestFit="1" customWidth="1"/>
    <col min="5" max="5" width="8.7109375" bestFit="1" customWidth="1"/>
    <col min="6" max="6" width="14.140625" bestFit="1" customWidth="1"/>
    <col min="7" max="7" width="13.42578125" bestFit="1" customWidth="1"/>
    <col min="8" max="8" width="14.85546875" bestFit="1" customWidth="1"/>
    <col min="9" max="9" width="17.5703125" bestFit="1" customWidth="1"/>
    <col min="10" max="10" width="15.140625" bestFit="1" customWidth="1"/>
    <col min="11" max="11" width="9.7109375" bestFit="1" customWidth="1"/>
    <col min="12" max="12" width="12.28515625" bestFit="1" customWidth="1"/>
    <col min="13" max="13" width="11.5703125" bestFit="1" customWidth="1"/>
    <col min="14" max="14" width="9.7109375" bestFit="1" customWidth="1"/>
    <col min="15" max="15" width="9.28515625" bestFit="1" customWidth="1"/>
    <col min="16" max="16" width="14.7109375" bestFit="1" customWidth="1"/>
    <col min="17" max="17" width="20.28515625" bestFit="1" customWidth="1"/>
    <col min="18" max="18" width="20.28515625" customWidth="1"/>
    <col min="19" max="19" width="2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572</v>
      </c>
    </row>
    <row r="2" spans="1:19" x14ac:dyDescent="0.25">
      <c r="A2" s="2" t="s">
        <v>17</v>
      </c>
      <c r="B2" s="2"/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/>
      <c r="J2" s="2">
        <v>4.3</v>
      </c>
      <c r="K2" s="2" t="s">
        <v>24</v>
      </c>
      <c r="L2" s="2"/>
      <c r="M2" s="2" t="s">
        <v>25</v>
      </c>
      <c r="N2" s="2" t="s">
        <v>26</v>
      </c>
      <c r="O2" s="2">
        <v>0</v>
      </c>
      <c r="P2" s="2" t="s">
        <v>27</v>
      </c>
      <c r="Q2" s="2" t="s">
        <v>28</v>
      </c>
      <c r="R2" s="7"/>
      <c r="S2">
        <f>IFERROR(L2,L3)</f>
        <v>0</v>
      </c>
    </row>
    <row r="3" spans="1:19" x14ac:dyDescent="0.2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22</v>
      </c>
      <c r="H3" s="3" t="s">
        <v>35</v>
      </c>
      <c r="I3" s="3">
        <v>8.4</v>
      </c>
      <c r="J3" s="3">
        <v>6.7</v>
      </c>
      <c r="K3" s="3" t="s">
        <v>24</v>
      </c>
      <c r="L3" s="3">
        <v>4</v>
      </c>
      <c r="M3" s="3" t="s">
        <v>25</v>
      </c>
      <c r="N3" s="3" t="s">
        <v>26</v>
      </c>
      <c r="O3" s="3">
        <v>1</v>
      </c>
      <c r="P3" s="3" t="s">
        <v>13</v>
      </c>
      <c r="Q3" s="3" t="s">
        <v>36</v>
      </c>
      <c r="R3" s="8"/>
      <c r="S3">
        <f t="shared" ref="S3:S66" si="0">IFERROR(L3,L4)</f>
        <v>4</v>
      </c>
    </row>
    <row r="4" spans="1:19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7.1</v>
      </c>
      <c r="J4" s="2">
        <v>5</v>
      </c>
      <c r="K4" s="2" t="s">
        <v>24</v>
      </c>
      <c r="L4" s="2">
        <v>5</v>
      </c>
      <c r="M4" s="2" t="s">
        <v>25</v>
      </c>
      <c r="N4" s="2" t="s">
        <v>26</v>
      </c>
      <c r="O4" s="2">
        <v>1</v>
      </c>
      <c r="P4" s="2" t="s">
        <v>45</v>
      </c>
      <c r="Q4" s="2" t="s">
        <v>46</v>
      </c>
      <c r="R4" s="7"/>
      <c r="S4">
        <f t="shared" si="0"/>
        <v>5</v>
      </c>
    </row>
    <row r="5" spans="1:19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41</v>
      </c>
      <c r="F5" s="3" t="s">
        <v>42</v>
      </c>
      <c r="G5" s="3" t="s">
        <v>43</v>
      </c>
      <c r="H5" s="3" t="s">
        <v>35</v>
      </c>
      <c r="I5" s="3">
        <v>3.7</v>
      </c>
      <c r="J5" s="3">
        <v>1.8</v>
      </c>
      <c r="K5" s="3" t="s">
        <v>24</v>
      </c>
      <c r="L5" s="3">
        <v>5</v>
      </c>
      <c r="M5" s="3" t="s">
        <v>51</v>
      </c>
      <c r="N5" s="3" t="s">
        <v>26</v>
      </c>
      <c r="O5" s="3">
        <v>0</v>
      </c>
      <c r="P5" s="3" t="s">
        <v>52</v>
      </c>
      <c r="Q5" s="3" t="s">
        <v>53</v>
      </c>
      <c r="R5" s="8"/>
      <c r="S5">
        <f t="shared" si="0"/>
        <v>5</v>
      </c>
    </row>
    <row r="6" spans="1:19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41</v>
      </c>
      <c r="F6" s="2" t="s">
        <v>42</v>
      </c>
      <c r="G6" s="2" t="s">
        <v>43</v>
      </c>
      <c r="H6" s="2" t="s">
        <v>58</v>
      </c>
      <c r="I6" s="2">
        <v>8.4</v>
      </c>
      <c r="J6" s="2">
        <v>4.7</v>
      </c>
      <c r="K6" s="2" t="s">
        <v>24</v>
      </c>
      <c r="L6" s="2">
        <v>5</v>
      </c>
      <c r="M6" s="2" t="s">
        <v>59</v>
      </c>
      <c r="N6" s="2" t="s">
        <v>26</v>
      </c>
      <c r="O6" s="2">
        <v>1</v>
      </c>
      <c r="P6" s="2" t="s">
        <v>45</v>
      </c>
      <c r="Q6" s="2" t="s">
        <v>60</v>
      </c>
      <c r="R6" s="7"/>
      <c r="S6">
        <f t="shared" si="0"/>
        <v>5</v>
      </c>
    </row>
    <row r="7" spans="1:19" x14ac:dyDescent="0.25">
      <c r="A7" s="3" t="s">
        <v>61</v>
      </c>
      <c r="B7" s="3" t="s">
        <v>62</v>
      </c>
      <c r="C7" s="3" t="s">
        <v>63</v>
      </c>
      <c r="D7" s="3" t="s">
        <v>64</v>
      </c>
      <c r="E7" s="3" t="s">
        <v>33</v>
      </c>
      <c r="F7" s="3" t="s">
        <v>34</v>
      </c>
      <c r="G7" s="3" t="s">
        <v>43</v>
      </c>
      <c r="H7" s="3" t="s">
        <v>65</v>
      </c>
      <c r="I7" s="3">
        <v>6.1</v>
      </c>
      <c r="J7" s="3">
        <v>2.6</v>
      </c>
      <c r="K7" s="3" t="s">
        <v>24</v>
      </c>
      <c r="L7" s="3">
        <v>4</v>
      </c>
      <c r="M7" s="3" t="s">
        <v>51</v>
      </c>
      <c r="N7" s="3" t="s">
        <v>26</v>
      </c>
      <c r="O7" s="3">
        <v>0</v>
      </c>
      <c r="P7" s="3" t="s">
        <v>66</v>
      </c>
      <c r="Q7" s="3" t="s">
        <v>67</v>
      </c>
      <c r="R7" s="8"/>
      <c r="S7">
        <f t="shared" si="0"/>
        <v>4</v>
      </c>
    </row>
    <row r="8" spans="1:19" x14ac:dyDescent="0.25">
      <c r="A8" s="2" t="s">
        <v>68</v>
      </c>
      <c r="B8" s="2" t="s">
        <v>69</v>
      </c>
      <c r="C8" s="2" t="s">
        <v>70</v>
      </c>
      <c r="D8" s="2" t="s">
        <v>71</v>
      </c>
      <c r="E8" s="2" t="s">
        <v>33</v>
      </c>
      <c r="F8" s="2" t="s">
        <v>34</v>
      </c>
      <c r="G8" s="2" t="s">
        <v>43</v>
      </c>
      <c r="H8" s="2" t="s">
        <v>72</v>
      </c>
      <c r="I8" s="2">
        <v>5.7</v>
      </c>
      <c r="J8" s="2">
        <v>4.4000000000000004</v>
      </c>
      <c r="K8" s="2" t="s">
        <v>24</v>
      </c>
      <c r="L8" s="2">
        <v>5</v>
      </c>
      <c r="M8" s="2" t="s">
        <v>25</v>
      </c>
      <c r="N8" s="2" t="s">
        <v>26</v>
      </c>
      <c r="O8" s="2">
        <v>0</v>
      </c>
      <c r="P8" s="2" t="s">
        <v>66</v>
      </c>
      <c r="Q8" s="2" t="s">
        <v>73</v>
      </c>
      <c r="R8" s="7"/>
      <c r="S8">
        <f t="shared" si="0"/>
        <v>5</v>
      </c>
    </row>
    <row r="9" spans="1:19" x14ac:dyDescent="0.25">
      <c r="A9" s="3" t="s">
        <v>74</v>
      </c>
      <c r="B9" s="3" t="s">
        <v>75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22</v>
      </c>
      <c r="H9" s="3" t="s">
        <v>44</v>
      </c>
      <c r="I9" s="3">
        <v>7.8</v>
      </c>
      <c r="J9" s="3">
        <v>5.4</v>
      </c>
      <c r="K9" s="3" t="s">
        <v>24</v>
      </c>
      <c r="L9" s="3">
        <v>5</v>
      </c>
      <c r="M9" s="3" t="s">
        <v>59</v>
      </c>
      <c r="N9" s="3" t="s">
        <v>26</v>
      </c>
      <c r="O9" s="3">
        <v>1</v>
      </c>
      <c r="P9" s="3" t="s">
        <v>13</v>
      </c>
      <c r="Q9" s="3" t="s">
        <v>46</v>
      </c>
      <c r="R9" s="8"/>
      <c r="S9">
        <f t="shared" si="0"/>
        <v>5</v>
      </c>
    </row>
    <row r="10" spans="1:19" x14ac:dyDescent="0.25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20</v>
      </c>
      <c r="F10" s="2" t="s">
        <v>21</v>
      </c>
      <c r="G10" s="2" t="s">
        <v>22</v>
      </c>
      <c r="H10" s="2" t="s">
        <v>80</v>
      </c>
      <c r="I10" s="2">
        <v>11.2</v>
      </c>
      <c r="J10" s="2">
        <v>6.5</v>
      </c>
      <c r="K10" s="2" t="s">
        <v>24</v>
      </c>
      <c r="L10" s="2">
        <v>4</v>
      </c>
      <c r="M10" s="2" t="s">
        <v>81</v>
      </c>
      <c r="N10" s="2" t="s">
        <v>26</v>
      </c>
      <c r="O10" s="2">
        <v>1</v>
      </c>
      <c r="P10" s="2" t="s">
        <v>27</v>
      </c>
      <c r="Q10" s="2" t="s">
        <v>82</v>
      </c>
      <c r="R10" s="7"/>
      <c r="S10">
        <f t="shared" si="0"/>
        <v>4</v>
      </c>
    </row>
    <row r="11" spans="1:19" x14ac:dyDescent="0.25">
      <c r="A11" s="3" t="s">
        <v>83</v>
      </c>
      <c r="B11" s="3" t="s">
        <v>84</v>
      </c>
      <c r="C11" s="3" t="s">
        <v>85</v>
      </c>
      <c r="D11" s="3" t="s">
        <v>86</v>
      </c>
      <c r="E11" s="3" t="s">
        <v>20</v>
      </c>
      <c r="F11" s="3" t="s">
        <v>21</v>
      </c>
      <c r="G11" s="3" t="s">
        <v>22</v>
      </c>
      <c r="H11" s="3" t="s">
        <v>58</v>
      </c>
      <c r="I11" s="3">
        <v>3</v>
      </c>
      <c r="J11" s="3">
        <v>4.0999999999999996</v>
      </c>
      <c r="K11" s="3" t="s">
        <v>24</v>
      </c>
      <c r="L11" s="3">
        <v>5</v>
      </c>
      <c r="M11" s="3" t="s">
        <v>59</v>
      </c>
      <c r="N11" s="3" t="s">
        <v>26</v>
      </c>
      <c r="O11" s="3">
        <v>0</v>
      </c>
      <c r="P11" s="3" t="s">
        <v>13</v>
      </c>
      <c r="Q11" s="3" t="s">
        <v>87</v>
      </c>
      <c r="R11" s="8"/>
      <c r="S11">
        <f t="shared" si="0"/>
        <v>5</v>
      </c>
    </row>
    <row r="12" spans="1:19" x14ac:dyDescent="0.25">
      <c r="A12" s="2" t="s">
        <v>88</v>
      </c>
      <c r="B12" s="2" t="s">
        <v>89</v>
      </c>
      <c r="C12" s="2" t="s">
        <v>56</v>
      </c>
      <c r="D12" s="2" t="s">
        <v>57</v>
      </c>
      <c r="E12" s="2" t="s">
        <v>41</v>
      </c>
      <c r="F12" s="2" t="s">
        <v>42</v>
      </c>
      <c r="G12" s="2" t="s">
        <v>41</v>
      </c>
      <c r="H12" s="2" t="s">
        <v>35</v>
      </c>
      <c r="I12" s="2">
        <v>11.7</v>
      </c>
      <c r="J12" s="2">
        <v>3.9</v>
      </c>
      <c r="K12" s="2" t="s">
        <v>24</v>
      </c>
      <c r="L12" s="2">
        <v>5</v>
      </c>
      <c r="M12" s="2" t="s">
        <v>90</v>
      </c>
      <c r="N12" s="2" t="s">
        <v>26</v>
      </c>
      <c r="O12" s="2">
        <v>0</v>
      </c>
      <c r="P12" s="2" t="s">
        <v>45</v>
      </c>
      <c r="Q12" s="2" t="s">
        <v>60</v>
      </c>
      <c r="R12" s="7"/>
      <c r="S12">
        <f t="shared" si="0"/>
        <v>5</v>
      </c>
    </row>
    <row r="13" spans="1:19" x14ac:dyDescent="0.25">
      <c r="A13" s="3" t="s">
        <v>91</v>
      </c>
      <c r="B13" s="3" t="s">
        <v>92</v>
      </c>
      <c r="C13" s="3" t="s">
        <v>78</v>
      </c>
      <c r="D13" s="3" t="s">
        <v>79</v>
      </c>
      <c r="E13" s="3" t="s">
        <v>20</v>
      </c>
      <c r="F13" s="3" t="s">
        <v>21</v>
      </c>
      <c r="G13" s="3" t="s">
        <v>43</v>
      </c>
      <c r="H13" s="3" t="s">
        <v>58</v>
      </c>
      <c r="I13" s="3">
        <v>5</v>
      </c>
      <c r="J13" s="3">
        <v>4.9000000000000004</v>
      </c>
      <c r="K13" s="3" t="s">
        <v>24</v>
      </c>
      <c r="L13" s="3">
        <v>5</v>
      </c>
      <c r="M13" s="3" t="s">
        <v>90</v>
      </c>
      <c r="N13" s="3" t="s">
        <v>26</v>
      </c>
      <c r="O13" s="3">
        <v>1</v>
      </c>
      <c r="P13" s="3" t="s">
        <v>27</v>
      </c>
      <c r="Q13" s="3" t="s">
        <v>82</v>
      </c>
      <c r="R13" s="8"/>
      <c r="S13">
        <f t="shared" si="0"/>
        <v>5</v>
      </c>
    </row>
    <row r="14" spans="1:19" x14ac:dyDescent="0.25">
      <c r="A14" s="2" t="s">
        <v>93</v>
      </c>
      <c r="B14" s="2" t="s">
        <v>94</v>
      </c>
      <c r="C14" s="2" t="s">
        <v>85</v>
      </c>
      <c r="D14" s="2" t="s">
        <v>86</v>
      </c>
      <c r="E14" s="2" t="s">
        <v>20</v>
      </c>
      <c r="F14" s="2" t="s">
        <v>21</v>
      </c>
      <c r="G14" s="2" t="s">
        <v>43</v>
      </c>
      <c r="H14" s="2" t="s">
        <v>95</v>
      </c>
      <c r="I14" s="2">
        <v>6.7</v>
      </c>
      <c r="J14" s="2">
        <v>3.3</v>
      </c>
      <c r="K14" s="2" t="s">
        <v>24</v>
      </c>
      <c r="L14" s="2">
        <v>5</v>
      </c>
      <c r="M14" s="2" t="s">
        <v>25</v>
      </c>
      <c r="N14" s="2" t="s">
        <v>26</v>
      </c>
      <c r="O14" s="2">
        <v>0</v>
      </c>
      <c r="P14" s="2" t="s">
        <v>27</v>
      </c>
      <c r="Q14" s="2" t="s">
        <v>87</v>
      </c>
      <c r="R14" s="7"/>
      <c r="S14">
        <f t="shared" si="0"/>
        <v>5</v>
      </c>
    </row>
    <row r="15" spans="1:19" x14ac:dyDescent="0.25">
      <c r="A15" s="3" t="s">
        <v>96</v>
      </c>
      <c r="B15" s="3" t="s">
        <v>92</v>
      </c>
      <c r="C15" s="3" t="s">
        <v>49</v>
      </c>
      <c r="D15" s="3" t="s">
        <v>50</v>
      </c>
      <c r="E15" s="3" t="s">
        <v>41</v>
      </c>
      <c r="F15" s="3" t="s">
        <v>42</v>
      </c>
      <c r="G15" s="3" t="s">
        <v>43</v>
      </c>
      <c r="H15" s="3" t="s">
        <v>58</v>
      </c>
      <c r="I15" s="3">
        <v>12.1</v>
      </c>
      <c r="J15" s="3">
        <v>1.4</v>
      </c>
      <c r="K15" s="3" t="s">
        <v>24</v>
      </c>
      <c r="L15" s="3">
        <v>4</v>
      </c>
      <c r="M15" s="3" t="s">
        <v>59</v>
      </c>
      <c r="N15" s="3" t="s">
        <v>26</v>
      </c>
      <c r="O15" s="3">
        <v>0</v>
      </c>
      <c r="P15" s="3" t="s">
        <v>27</v>
      </c>
      <c r="Q15" s="3" t="s">
        <v>53</v>
      </c>
      <c r="R15" s="8"/>
      <c r="S15">
        <f t="shared" si="0"/>
        <v>4</v>
      </c>
    </row>
    <row r="16" spans="1:19" x14ac:dyDescent="0.25">
      <c r="A16" s="2" t="s">
        <v>97</v>
      </c>
      <c r="B16" s="2" t="s">
        <v>98</v>
      </c>
      <c r="C16" s="2" t="s">
        <v>85</v>
      </c>
      <c r="D16" s="2" t="s">
        <v>86</v>
      </c>
      <c r="E16" s="2" t="s">
        <v>20</v>
      </c>
      <c r="F16" s="2" t="s">
        <v>21</v>
      </c>
      <c r="G16" s="2" t="s">
        <v>41</v>
      </c>
      <c r="H16" s="2" t="s">
        <v>44</v>
      </c>
      <c r="I16" s="2">
        <v>8.1999999999999993</v>
      </c>
      <c r="J16" s="2">
        <v>3</v>
      </c>
      <c r="K16" s="2" t="s">
        <v>24</v>
      </c>
      <c r="L16" s="2">
        <v>4</v>
      </c>
      <c r="M16" s="2" t="s">
        <v>81</v>
      </c>
      <c r="N16" s="2" t="s">
        <v>26</v>
      </c>
      <c r="O16" s="2">
        <v>0</v>
      </c>
      <c r="P16" s="2" t="s">
        <v>66</v>
      </c>
      <c r="Q16" s="2" t="s">
        <v>87</v>
      </c>
      <c r="R16" s="7"/>
      <c r="S16">
        <f t="shared" si="0"/>
        <v>4</v>
      </c>
    </row>
    <row r="17" spans="1:19" x14ac:dyDescent="0.25">
      <c r="A17" s="3" t="s">
        <v>99</v>
      </c>
      <c r="B17" s="3" t="s">
        <v>100</v>
      </c>
      <c r="C17" s="3" t="s">
        <v>31</v>
      </c>
      <c r="D17" s="3" t="s">
        <v>32</v>
      </c>
      <c r="E17" s="3" t="s">
        <v>33</v>
      </c>
      <c r="F17" s="3" t="s">
        <v>34</v>
      </c>
      <c r="G17" s="3" t="s">
        <v>41</v>
      </c>
      <c r="H17" s="3" t="s">
        <v>95</v>
      </c>
      <c r="I17" s="3">
        <v>7.3</v>
      </c>
      <c r="J17" s="3">
        <v>2</v>
      </c>
      <c r="K17" s="3" t="s">
        <v>24</v>
      </c>
      <c r="L17" s="3">
        <v>5</v>
      </c>
      <c r="M17" s="3" t="s">
        <v>25</v>
      </c>
      <c r="N17" s="3" t="s">
        <v>26</v>
      </c>
      <c r="O17" s="3">
        <v>1</v>
      </c>
      <c r="P17" s="3" t="s">
        <v>52</v>
      </c>
      <c r="Q17" s="3" t="s">
        <v>36</v>
      </c>
      <c r="R17" s="8"/>
      <c r="S17">
        <f t="shared" si="0"/>
        <v>5</v>
      </c>
    </row>
    <row r="18" spans="1:19" x14ac:dyDescent="0.25">
      <c r="A18" s="2" t="s">
        <v>101</v>
      </c>
      <c r="B18" s="2" t="s">
        <v>102</v>
      </c>
      <c r="C18" s="2" t="s">
        <v>31</v>
      </c>
      <c r="D18" s="2" t="s">
        <v>32</v>
      </c>
      <c r="E18" s="2" t="s">
        <v>33</v>
      </c>
      <c r="F18" s="2" t="s">
        <v>34</v>
      </c>
      <c r="G18" s="2" t="s">
        <v>43</v>
      </c>
      <c r="H18" s="2" t="s">
        <v>23</v>
      </c>
      <c r="I18" s="2">
        <v>8.6</v>
      </c>
      <c r="J18" s="2">
        <v>4.2</v>
      </c>
      <c r="K18" s="2" t="s">
        <v>24</v>
      </c>
      <c r="L18" s="2">
        <v>4</v>
      </c>
      <c r="M18" s="2" t="s">
        <v>81</v>
      </c>
      <c r="N18" s="2" t="s">
        <v>26</v>
      </c>
      <c r="O18" s="2">
        <v>0</v>
      </c>
      <c r="P18" s="2" t="s">
        <v>45</v>
      </c>
      <c r="Q18" s="2" t="s">
        <v>36</v>
      </c>
      <c r="R18" s="7"/>
      <c r="S18">
        <f t="shared" si="0"/>
        <v>4</v>
      </c>
    </row>
    <row r="19" spans="1:19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20</v>
      </c>
      <c r="F19" s="3" t="s">
        <v>21</v>
      </c>
      <c r="G19" s="3" t="s">
        <v>41</v>
      </c>
      <c r="H19" s="3" t="s">
        <v>95</v>
      </c>
      <c r="I19" s="3">
        <v>8.6999999999999993</v>
      </c>
      <c r="J19" s="3">
        <v>3.4</v>
      </c>
      <c r="K19" s="3" t="s">
        <v>26</v>
      </c>
      <c r="L19" s="3">
        <v>3</v>
      </c>
      <c r="M19" s="3" t="s">
        <v>81</v>
      </c>
      <c r="N19" s="3" t="s">
        <v>24</v>
      </c>
      <c r="O19" s="3">
        <v>1</v>
      </c>
      <c r="P19" s="3" t="s">
        <v>27</v>
      </c>
      <c r="Q19" s="3" t="s">
        <v>107</v>
      </c>
      <c r="R19" s="8"/>
      <c r="S19">
        <f t="shared" si="0"/>
        <v>3</v>
      </c>
    </row>
    <row r="20" spans="1:19" x14ac:dyDescent="0.25">
      <c r="A20" s="2" t="s">
        <v>108</v>
      </c>
      <c r="B20" s="2" t="s">
        <v>109</v>
      </c>
      <c r="C20" s="2" t="s">
        <v>39</v>
      </c>
      <c r="D20" s="2" t="s">
        <v>40</v>
      </c>
      <c r="E20" s="2" t="s">
        <v>41</v>
      </c>
      <c r="F20" s="2" t="s">
        <v>42</v>
      </c>
      <c r="G20" s="2" t="s">
        <v>22</v>
      </c>
      <c r="H20" s="2" t="s">
        <v>23</v>
      </c>
      <c r="I20" s="2">
        <v>8.5</v>
      </c>
      <c r="J20" s="2">
        <v>4.8</v>
      </c>
      <c r="K20" s="2" t="s">
        <v>24</v>
      </c>
      <c r="L20" s="2">
        <v>4</v>
      </c>
      <c r="M20" s="2" t="s">
        <v>25</v>
      </c>
      <c r="N20" s="2" t="s">
        <v>26</v>
      </c>
      <c r="O20" s="2">
        <v>1</v>
      </c>
      <c r="P20" s="2" t="s">
        <v>52</v>
      </c>
      <c r="Q20" s="2" t="s">
        <v>46</v>
      </c>
      <c r="R20" s="7"/>
      <c r="S20">
        <f t="shared" si="0"/>
        <v>4</v>
      </c>
    </row>
    <row r="21" spans="1:19" x14ac:dyDescent="0.25">
      <c r="A21" s="3" t="s">
        <v>110</v>
      </c>
      <c r="B21" s="3" t="s">
        <v>111</v>
      </c>
      <c r="C21" s="3" t="s">
        <v>39</v>
      </c>
      <c r="D21" s="3" t="s">
        <v>40</v>
      </c>
      <c r="E21" s="3" t="s">
        <v>41</v>
      </c>
      <c r="F21" s="3" t="s">
        <v>42</v>
      </c>
      <c r="G21" s="3" t="s">
        <v>22</v>
      </c>
      <c r="H21" s="3" t="s">
        <v>65</v>
      </c>
      <c r="I21" s="3">
        <v>7.3</v>
      </c>
      <c r="J21" s="3">
        <v>0.4</v>
      </c>
      <c r="K21" s="3" t="s">
        <v>26</v>
      </c>
      <c r="L21" s="3">
        <v>2</v>
      </c>
      <c r="M21" s="3" t="s">
        <v>90</v>
      </c>
      <c r="N21" s="3" t="s">
        <v>24</v>
      </c>
      <c r="O21" s="3">
        <v>3</v>
      </c>
      <c r="P21" s="3" t="s">
        <v>13</v>
      </c>
      <c r="Q21" s="3" t="s">
        <v>46</v>
      </c>
      <c r="R21" s="8"/>
      <c r="S21">
        <f t="shared" si="0"/>
        <v>2</v>
      </c>
    </row>
    <row r="22" spans="1:19" x14ac:dyDescent="0.25">
      <c r="A22" s="2" t="s">
        <v>112</v>
      </c>
      <c r="B22" s="2" t="s">
        <v>113</v>
      </c>
      <c r="C22" s="2" t="s">
        <v>31</v>
      </c>
      <c r="D22" s="2" t="s">
        <v>32</v>
      </c>
      <c r="E22" s="2" t="s">
        <v>33</v>
      </c>
      <c r="F22" s="2" t="s">
        <v>34</v>
      </c>
      <c r="G22" s="2" t="s">
        <v>41</v>
      </c>
      <c r="H22" s="2" t="s">
        <v>23</v>
      </c>
      <c r="I22" s="2">
        <v>8.8000000000000007</v>
      </c>
      <c r="J22" s="2">
        <v>3.4</v>
      </c>
      <c r="K22" s="2" t="s">
        <v>24</v>
      </c>
      <c r="L22" s="2">
        <v>5</v>
      </c>
      <c r="M22" s="2" t="s">
        <v>25</v>
      </c>
      <c r="N22" s="2" t="s">
        <v>26</v>
      </c>
      <c r="O22" s="2">
        <v>0</v>
      </c>
      <c r="P22" s="2" t="s">
        <v>45</v>
      </c>
      <c r="Q22" s="2" t="s">
        <v>36</v>
      </c>
      <c r="R22" s="7"/>
      <c r="S22">
        <f t="shared" si="0"/>
        <v>5</v>
      </c>
    </row>
    <row r="23" spans="1:19" x14ac:dyDescent="0.25">
      <c r="A23" s="3" t="s">
        <v>114</v>
      </c>
      <c r="B23" s="3" t="s">
        <v>115</v>
      </c>
      <c r="C23" s="3" t="s">
        <v>70</v>
      </c>
      <c r="D23" s="3" t="s">
        <v>71</v>
      </c>
      <c r="E23" s="3" t="s">
        <v>33</v>
      </c>
      <c r="F23" s="3" t="s">
        <v>34</v>
      </c>
      <c r="G23" s="3" t="s">
        <v>22</v>
      </c>
      <c r="H23" s="3" t="s">
        <v>23</v>
      </c>
      <c r="I23" s="3">
        <v>5.0999999999999996</v>
      </c>
      <c r="J23" s="3">
        <v>5.3</v>
      </c>
      <c r="K23" s="3" t="s">
        <v>24</v>
      </c>
      <c r="L23" s="3">
        <v>5</v>
      </c>
      <c r="M23" s="3" t="s">
        <v>59</v>
      </c>
      <c r="N23" s="3" t="s">
        <v>26</v>
      </c>
      <c r="O23" s="3">
        <v>0</v>
      </c>
      <c r="P23" s="3" t="s">
        <v>13</v>
      </c>
      <c r="Q23" s="3" t="s">
        <v>73</v>
      </c>
      <c r="R23" s="8"/>
      <c r="S23">
        <f t="shared" si="0"/>
        <v>5</v>
      </c>
    </row>
    <row r="24" spans="1:19" x14ac:dyDescent="0.25">
      <c r="A24" s="2" t="s">
        <v>116</v>
      </c>
      <c r="B24" s="2" t="s">
        <v>117</v>
      </c>
      <c r="C24" s="2" t="s">
        <v>63</v>
      </c>
      <c r="D24" s="2" t="s">
        <v>64</v>
      </c>
      <c r="E24" s="2" t="s">
        <v>33</v>
      </c>
      <c r="F24" s="2" t="s">
        <v>34</v>
      </c>
      <c r="G24" s="2" t="s">
        <v>43</v>
      </c>
      <c r="H24" s="2" t="s">
        <v>35</v>
      </c>
      <c r="I24" s="2">
        <v>7</v>
      </c>
      <c r="J24" s="2">
        <v>7</v>
      </c>
      <c r="K24" s="2" t="s">
        <v>24</v>
      </c>
      <c r="L24" s="2">
        <v>5</v>
      </c>
      <c r="M24" s="2" t="s">
        <v>81</v>
      </c>
      <c r="N24" s="2" t="s">
        <v>26</v>
      </c>
      <c r="O24" s="2">
        <v>1</v>
      </c>
      <c r="P24" s="2" t="s">
        <v>13</v>
      </c>
      <c r="Q24" s="2" t="s">
        <v>67</v>
      </c>
      <c r="R24" s="7"/>
      <c r="S24">
        <f t="shared" si="0"/>
        <v>5</v>
      </c>
    </row>
    <row r="25" spans="1:19" x14ac:dyDescent="0.25">
      <c r="A25" s="3" t="s">
        <v>118</v>
      </c>
      <c r="B25" s="3" t="s">
        <v>119</v>
      </c>
      <c r="C25" s="3" t="s">
        <v>56</v>
      </c>
      <c r="D25" s="3" t="s">
        <v>57</v>
      </c>
      <c r="E25" s="3" t="s">
        <v>41</v>
      </c>
      <c r="F25" s="3" t="s">
        <v>42</v>
      </c>
      <c r="G25" s="3" t="s">
        <v>22</v>
      </c>
      <c r="H25" s="3" t="s">
        <v>65</v>
      </c>
      <c r="I25" s="3">
        <v>7.9</v>
      </c>
      <c r="J25" s="3">
        <v>3.3</v>
      </c>
      <c r="K25" s="3" t="s">
        <v>24</v>
      </c>
      <c r="L25" s="3">
        <v>4</v>
      </c>
      <c r="M25" s="3" t="s">
        <v>25</v>
      </c>
      <c r="N25" s="3" t="s">
        <v>26</v>
      </c>
      <c r="O25" s="3">
        <v>0</v>
      </c>
      <c r="P25" s="3" t="s">
        <v>27</v>
      </c>
      <c r="Q25" s="3" t="s">
        <v>60</v>
      </c>
      <c r="R25" s="8"/>
      <c r="S25">
        <f t="shared" si="0"/>
        <v>4</v>
      </c>
    </row>
    <row r="26" spans="1:19" x14ac:dyDescent="0.25">
      <c r="A26" s="2" t="s">
        <v>120</v>
      </c>
      <c r="B26" s="2" t="s">
        <v>121</v>
      </c>
      <c r="C26" s="2" t="s">
        <v>18</v>
      </c>
      <c r="D26" s="2" t="s">
        <v>122</v>
      </c>
      <c r="E26" s="2" t="s">
        <v>20</v>
      </c>
      <c r="F26" s="2" t="s">
        <v>21</v>
      </c>
      <c r="G26" s="2" t="s">
        <v>41</v>
      </c>
      <c r="H26" s="2" t="s">
        <v>72</v>
      </c>
      <c r="I26" s="2">
        <v>8.6999999999999993</v>
      </c>
      <c r="J26" s="2">
        <v>3.4</v>
      </c>
      <c r="K26" s="2" t="s">
        <v>26</v>
      </c>
      <c r="L26" s="2">
        <v>2</v>
      </c>
      <c r="M26" s="2" t="s">
        <v>51</v>
      </c>
      <c r="N26" s="2" t="s">
        <v>26</v>
      </c>
      <c r="O26" s="2">
        <v>1</v>
      </c>
      <c r="P26" s="2" t="s">
        <v>45</v>
      </c>
      <c r="Q26" s="2" t="s">
        <v>28</v>
      </c>
      <c r="R26" s="7"/>
      <c r="S26">
        <f t="shared" si="0"/>
        <v>2</v>
      </c>
    </row>
    <row r="27" spans="1:19" x14ac:dyDescent="0.25">
      <c r="A27" s="3" t="s">
        <v>123</v>
      </c>
      <c r="B27" s="3" t="s">
        <v>124</v>
      </c>
      <c r="C27" s="3" t="s">
        <v>105</v>
      </c>
      <c r="D27" s="3" t="s">
        <v>125</v>
      </c>
      <c r="E27" s="3" t="s">
        <v>20</v>
      </c>
      <c r="F27" s="3" t="s">
        <v>21</v>
      </c>
      <c r="G27" s="3" t="s">
        <v>43</v>
      </c>
      <c r="H27" s="3" t="s">
        <v>80</v>
      </c>
      <c r="I27" s="3">
        <v>5.7</v>
      </c>
      <c r="J27" s="3">
        <v>2.6</v>
      </c>
      <c r="K27" s="3" t="s">
        <v>24</v>
      </c>
      <c r="L27" s="3">
        <v>4</v>
      </c>
      <c r="M27" s="3" t="s">
        <v>81</v>
      </c>
      <c r="N27" s="3" t="s">
        <v>26</v>
      </c>
      <c r="O27" s="3">
        <v>1</v>
      </c>
      <c r="P27" s="3" t="s">
        <v>66</v>
      </c>
      <c r="Q27" s="3" t="s">
        <v>107</v>
      </c>
      <c r="R27" s="8"/>
      <c r="S27">
        <f t="shared" si="0"/>
        <v>4</v>
      </c>
    </row>
    <row r="28" spans="1:19" x14ac:dyDescent="0.25">
      <c r="A28" s="2" t="s">
        <v>126</v>
      </c>
      <c r="B28" s="2" t="s">
        <v>117</v>
      </c>
      <c r="C28" s="2" t="s">
        <v>39</v>
      </c>
      <c r="D28" s="2" t="s">
        <v>40</v>
      </c>
      <c r="E28" s="2" t="s">
        <v>41</v>
      </c>
      <c r="F28" s="2" t="s">
        <v>42</v>
      </c>
      <c r="G28" s="2" t="s">
        <v>22</v>
      </c>
      <c r="H28" s="2" t="s">
        <v>58</v>
      </c>
      <c r="I28" s="2">
        <v>10.9</v>
      </c>
      <c r="J28" s="2">
        <v>6.1</v>
      </c>
      <c r="K28" s="2" t="s">
        <v>24</v>
      </c>
      <c r="L28" s="2">
        <v>4</v>
      </c>
      <c r="M28" s="2" t="s">
        <v>25</v>
      </c>
      <c r="N28" s="2" t="s">
        <v>26</v>
      </c>
      <c r="O28" s="2">
        <v>0</v>
      </c>
      <c r="P28" s="2" t="s">
        <v>45</v>
      </c>
      <c r="Q28" s="2" t="s">
        <v>46</v>
      </c>
      <c r="R28" s="7"/>
      <c r="S28">
        <f t="shared" si="0"/>
        <v>4</v>
      </c>
    </row>
    <row r="29" spans="1:19" x14ac:dyDescent="0.25">
      <c r="A29" s="3" t="s">
        <v>127</v>
      </c>
      <c r="B29" s="3" t="s">
        <v>128</v>
      </c>
      <c r="C29" s="3" t="s">
        <v>31</v>
      </c>
      <c r="D29" s="3" t="s">
        <v>32</v>
      </c>
      <c r="E29" s="3" t="s">
        <v>33</v>
      </c>
      <c r="F29" s="3" t="s">
        <v>34</v>
      </c>
      <c r="G29" s="3" t="s">
        <v>43</v>
      </c>
      <c r="H29" s="3" t="s">
        <v>35</v>
      </c>
      <c r="I29" s="3">
        <v>6.4</v>
      </c>
      <c r="J29" s="3">
        <v>4</v>
      </c>
      <c r="K29" s="3" t="s">
        <v>24</v>
      </c>
      <c r="L29" s="3">
        <v>4</v>
      </c>
      <c r="M29" s="3" t="s">
        <v>81</v>
      </c>
      <c r="N29" s="3" t="s">
        <v>26</v>
      </c>
      <c r="O29" s="3">
        <v>0</v>
      </c>
      <c r="P29" s="3" t="s">
        <v>13</v>
      </c>
      <c r="Q29" s="3" t="s">
        <v>36</v>
      </c>
      <c r="R29" s="8"/>
      <c r="S29">
        <f t="shared" si="0"/>
        <v>4</v>
      </c>
    </row>
    <row r="30" spans="1:19" x14ac:dyDescent="0.25">
      <c r="A30" s="2" t="s">
        <v>129</v>
      </c>
      <c r="B30" s="2" t="s">
        <v>130</v>
      </c>
      <c r="C30" s="2" t="s">
        <v>85</v>
      </c>
      <c r="D30" s="2" t="s">
        <v>86</v>
      </c>
      <c r="E30" s="2" t="s">
        <v>20</v>
      </c>
      <c r="F30" s="2" t="s">
        <v>21</v>
      </c>
      <c r="G30" s="2" t="s">
        <v>43</v>
      </c>
      <c r="H30" s="2" t="s">
        <v>58</v>
      </c>
      <c r="I30" s="2">
        <v>6.8</v>
      </c>
      <c r="J30" s="2">
        <v>1.4</v>
      </c>
      <c r="K30" s="2" t="s">
        <v>24</v>
      </c>
      <c r="L30" s="2">
        <v>5</v>
      </c>
      <c r="M30" s="2" t="s">
        <v>81</v>
      </c>
      <c r="N30" s="2" t="s">
        <v>26</v>
      </c>
      <c r="O30" s="2">
        <v>0</v>
      </c>
      <c r="P30" s="2" t="s">
        <v>27</v>
      </c>
      <c r="Q30" s="2" t="s">
        <v>87</v>
      </c>
      <c r="R30" s="7"/>
      <c r="S30">
        <f t="shared" si="0"/>
        <v>5</v>
      </c>
    </row>
    <row r="31" spans="1:19" x14ac:dyDescent="0.25">
      <c r="A31" s="3" t="s">
        <v>131</v>
      </c>
      <c r="B31" s="3" t="s">
        <v>117</v>
      </c>
      <c r="C31" s="3" t="s">
        <v>18</v>
      </c>
      <c r="D31" s="3" t="s">
        <v>122</v>
      </c>
      <c r="E31" s="3" t="s">
        <v>20</v>
      </c>
      <c r="F31" s="3" t="s">
        <v>21</v>
      </c>
      <c r="G31" s="3" t="s">
        <v>43</v>
      </c>
      <c r="H31" s="3" t="s">
        <v>95</v>
      </c>
      <c r="I31" s="3">
        <v>11.8</v>
      </c>
      <c r="J31" s="3">
        <v>1.9</v>
      </c>
      <c r="K31" s="3" t="s">
        <v>26</v>
      </c>
      <c r="L31" s="3">
        <v>3</v>
      </c>
      <c r="M31" s="3" t="s">
        <v>90</v>
      </c>
      <c r="N31" s="3" t="s">
        <v>26</v>
      </c>
      <c r="O31" s="3">
        <v>1</v>
      </c>
      <c r="P31" s="3" t="s">
        <v>13</v>
      </c>
      <c r="Q31" s="3" t="s">
        <v>28</v>
      </c>
      <c r="R31" s="8"/>
      <c r="S31">
        <f t="shared" si="0"/>
        <v>3</v>
      </c>
    </row>
    <row r="32" spans="1:19" x14ac:dyDescent="0.25">
      <c r="A32" s="2" t="s">
        <v>132</v>
      </c>
      <c r="B32" s="2" t="s">
        <v>133</v>
      </c>
      <c r="C32" s="2" t="s">
        <v>18</v>
      </c>
      <c r="D32" s="2" t="s">
        <v>122</v>
      </c>
      <c r="E32" s="2" t="s">
        <v>20</v>
      </c>
      <c r="F32" s="2" t="s">
        <v>21</v>
      </c>
      <c r="G32" s="2" t="s">
        <v>43</v>
      </c>
      <c r="H32" s="2" t="s">
        <v>95</v>
      </c>
      <c r="I32" s="2">
        <v>4.3</v>
      </c>
      <c r="J32" s="2">
        <v>1.2</v>
      </c>
      <c r="K32" s="2" t="s">
        <v>26</v>
      </c>
      <c r="L32" s="2">
        <v>1</v>
      </c>
      <c r="M32" s="2" t="s">
        <v>51</v>
      </c>
      <c r="N32" s="2" t="s">
        <v>24</v>
      </c>
      <c r="O32" s="2">
        <v>1</v>
      </c>
      <c r="P32" s="2" t="s">
        <v>66</v>
      </c>
      <c r="Q32" s="2" t="s">
        <v>28</v>
      </c>
      <c r="R32" s="7"/>
      <c r="S32">
        <f t="shared" si="0"/>
        <v>1</v>
      </c>
    </row>
    <row r="33" spans="1:19" x14ac:dyDescent="0.25">
      <c r="A33" s="3" t="s">
        <v>134</v>
      </c>
      <c r="B33" s="3" t="s">
        <v>135</v>
      </c>
      <c r="C33" s="3" t="s">
        <v>39</v>
      </c>
      <c r="D33" s="3" t="s">
        <v>40</v>
      </c>
      <c r="E33" s="3" t="s">
        <v>41</v>
      </c>
      <c r="F33" s="3" t="s">
        <v>42</v>
      </c>
      <c r="G33" s="3" t="s">
        <v>43</v>
      </c>
      <c r="H33" s="3" t="s">
        <v>80</v>
      </c>
      <c r="I33" s="3">
        <v>6.6</v>
      </c>
      <c r="J33" s="3">
        <v>3.6</v>
      </c>
      <c r="K33" s="3" t="s">
        <v>24</v>
      </c>
      <c r="L33" s="3">
        <v>5</v>
      </c>
      <c r="M33" s="3" t="s">
        <v>51</v>
      </c>
      <c r="N33" s="3" t="s">
        <v>26</v>
      </c>
      <c r="O33" s="3">
        <v>0</v>
      </c>
      <c r="P33" s="3" t="s">
        <v>27</v>
      </c>
      <c r="Q33" s="3" t="s">
        <v>46</v>
      </c>
      <c r="R33" s="8"/>
      <c r="S33">
        <f t="shared" si="0"/>
        <v>5</v>
      </c>
    </row>
    <row r="34" spans="1:19" x14ac:dyDescent="0.25">
      <c r="A34" s="2" t="s">
        <v>136</v>
      </c>
      <c r="B34" s="2" t="s">
        <v>137</v>
      </c>
      <c r="C34" s="2" t="s">
        <v>70</v>
      </c>
      <c r="D34" s="2" t="s">
        <v>71</v>
      </c>
      <c r="E34" s="2" t="s">
        <v>33</v>
      </c>
      <c r="F34" s="2" t="s">
        <v>34</v>
      </c>
      <c r="G34" s="2" t="s">
        <v>43</v>
      </c>
      <c r="H34" s="2" t="s">
        <v>72</v>
      </c>
      <c r="I34" s="2">
        <v>7.2</v>
      </c>
      <c r="J34" s="2">
        <v>4.2</v>
      </c>
      <c r="K34" s="2" t="s">
        <v>24</v>
      </c>
      <c r="L34" s="2">
        <v>4</v>
      </c>
      <c r="M34" s="2" t="s">
        <v>25</v>
      </c>
      <c r="N34" s="2" t="s">
        <v>26</v>
      </c>
      <c r="O34" s="2">
        <v>0</v>
      </c>
      <c r="P34" s="2" t="s">
        <v>66</v>
      </c>
      <c r="Q34" s="2" t="s">
        <v>73</v>
      </c>
      <c r="R34" s="7"/>
      <c r="S34">
        <f t="shared" si="0"/>
        <v>4</v>
      </c>
    </row>
    <row r="35" spans="1:19" x14ac:dyDescent="0.25">
      <c r="A35" s="3" t="s">
        <v>138</v>
      </c>
      <c r="B35" s="3" t="s">
        <v>139</v>
      </c>
      <c r="C35" s="3" t="s">
        <v>85</v>
      </c>
      <c r="D35" s="3" t="s">
        <v>86</v>
      </c>
      <c r="E35" s="3" t="s">
        <v>20</v>
      </c>
      <c r="F35" s="3" t="s">
        <v>21</v>
      </c>
      <c r="G35" s="3" t="s">
        <v>43</v>
      </c>
      <c r="H35" s="3" t="s">
        <v>65</v>
      </c>
      <c r="I35" s="3">
        <v>10.3</v>
      </c>
      <c r="J35" s="3">
        <v>2.6</v>
      </c>
      <c r="K35" s="3" t="s">
        <v>24</v>
      </c>
      <c r="L35" s="3">
        <v>4</v>
      </c>
      <c r="M35" s="3" t="s">
        <v>59</v>
      </c>
      <c r="N35" s="3" t="s">
        <v>26</v>
      </c>
      <c r="O35" s="3">
        <v>0</v>
      </c>
      <c r="P35" s="3" t="s">
        <v>13</v>
      </c>
      <c r="Q35" s="3" t="s">
        <v>87</v>
      </c>
      <c r="R35" s="8"/>
      <c r="S35">
        <f t="shared" si="0"/>
        <v>4</v>
      </c>
    </row>
    <row r="36" spans="1:19" x14ac:dyDescent="0.25">
      <c r="A36" s="2" t="s">
        <v>140</v>
      </c>
      <c r="B36" s="2" t="s">
        <v>141</v>
      </c>
      <c r="C36" s="2" t="s">
        <v>70</v>
      </c>
      <c r="D36" s="2" t="s">
        <v>71</v>
      </c>
      <c r="E36" s="2" t="s">
        <v>33</v>
      </c>
      <c r="F36" s="2" t="s">
        <v>34</v>
      </c>
      <c r="G36" s="2" t="s">
        <v>43</v>
      </c>
      <c r="H36" s="2" t="s">
        <v>58</v>
      </c>
      <c r="I36" s="2">
        <v>7.8</v>
      </c>
      <c r="J36" s="2">
        <v>2.2000000000000002</v>
      </c>
      <c r="K36" s="2" t="s">
        <v>24</v>
      </c>
      <c r="L36" s="2">
        <v>5</v>
      </c>
      <c r="M36" s="2" t="s">
        <v>59</v>
      </c>
      <c r="N36" s="2" t="s">
        <v>26</v>
      </c>
      <c r="O36" s="2">
        <v>0</v>
      </c>
      <c r="P36" s="2" t="s">
        <v>66</v>
      </c>
      <c r="Q36" s="2" t="s">
        <v>73</v>
      </c>
      <c r="R36" s="7"/>
      <c r="S36">
        <f t="shared" si="0"/>
        <v>5</v>
      </c>
    </row>
    <row r="37" spans="1:19" x14ac:dyDescent="0.25">
      <c r="A37" s="3" t="s">
        <v>142</v>
      </c>
      <c r="B37" s="3" t="s">
        <v>143</v>
      </c>
      <c r="C37" s="3" t="s">
        <v>63</v>
      </c>
      <c r="D37" s="3" t="s">
        <v>64</v>
      </c>
      <c r="E37" s="3" t="s">
        <v>33</v>
      </c>
      <c r="F37" s="3" t="s">
        <v>34</v>
      </c>
      <c r="G37" s="3" t="s">
        <v>43</v>
      </c>
      <c r="H37" s="3" t="s">
        <v>23</v>
      </c>
      <c r="I37" s="3"/>
      <c r="J37" s="3">
        <v>7.6</v>
      </c>
      <c r="K37" s="3" t="s">
        <v>24</v>
      </c>
      <c r="L37" s="3">
        <v>4</v>
      </c>
      <c r="M37" s="3" t="s">
        <v>81</v>
      </c>
      <c r="N37" s="3" t="s">
        <v>26</v>
      </c>
      <c r="O37" s="3">
        <v>1</v>
      </c>
      <c r="P37" s="3" t="s">
        <v>13</v>
      </c>
      <c r="Q37" s="3" t="s">
        <v>67</v>
      </c>
      <c r="R37" s="8"/>
      <c r="S37">
        <f t="shared" si="0"/>
        <v>4</v>
      </c>
    </row>
    <row r="38" spans="1:19" x14ac:dyDescent="0.25">
      <c r="A38" s="2" t="s">
        <v>144</v>
      </c>
      <c r="B38" s="2" t="s">
        <v>145</v>
      </c>
      <c r="C38" s="2" t="s">
        <v>49</v>
      </c>
      <c r="D38" s="2" t="s">
        <v>50</v>
      </c>
      <c r="E38" s="2" t="s">
        <v>41</v>
      </c>
      <c r="F38" s="2" t="s">
        <v>42</v>
      </c>
      <c r="G38" s="2" t="s">
        <v>22</v>
      </c>
      <c r="H38" s="2" t="s">
        <v>80</v>
      </c>
      <c r="I38" s="2">
        <v>7.8</v>
      </c>
      <c r="J38" s="2">
        <v>4.7</v>
      </c>
      <c r="K38" s="2" t="s">
        <v>24</v>
      </c>
      <c r="L38" s="2">
        <v>5</v>
      </c>
      <c r="M38" s="2" t="s">
        <v>25</v>
      </c>
      <c r="N38" s="2" t="s">
        <v>26</v>
      </c>
      <c r="O38" s="2">
        <v>1</v>
      </c>
      <c r="P38" s="2" t="s">
        <v>27</v>
      </c>
      <c r="Q38" s="2" t="s">
        <v>53</v>
      </c>
      <c r="R38" s="7"/>
      <c r="S38">
        <f t="shared" si="0"/>
        <v>5</v>
      </c>
    </row>
    <row r="39" spans="1:19" x14ac:dyDescent="0.25">
      <c r="A39" s="3" t="s">
        <v>146</v>
      </c>
      <c r="B39" s="3" t="s">
        <v>147</v>
      </c>
      <c r="C39" s="3" t="s">
        <v>78</v>
      </c>
      <c r="D39" s="3" t="s">
        <v>79</v>
      </c>
      <c r="E39" s="3" t="s">
        <v>20</v>
      </c>
      <c r="F39" s="3" t="s">
        <v>21</v>
      </c>
      <c r="G39" s="3" t="s">
        <v>43</v>
      </c>
      <c r="H39" s="3" t="s">
        <v>44</v>
      </c>
      <c r="I39" s="3">
        <v>11.3</v>
      </c>
      <c r="J39" s="3">
        <v>8.6</v>
      </c>
      <c r="K39" s="3" t="s">
        <v>24</v>
      </c>
      <c r="L39" s="3">
        <v>3</v>
      </c>
      <c r="M39" s="3" t="s">
        <v>51</v>
      </c>
      <c r="N39" s="3" t="s">
        <v>26</v>
      </c>
      <c r="O39" s="3">
        <v>1</v>
      </c>
      <c r="P39" s="3" t="s">
        <v>66</v>
      </c>
      <c r="Q39" s="3" t="s">
        <v>82</v>
      </c>
      <c r="R39" s="8"/>
      <c r="S39">
        <f t="shared" si="0"/>
        <v>3</v>
      </c>
    </row>
    <row r="40" spans="1:19" x14ac:dyDescent="0.25">
      <c r="A40" s="2" t="s">
        <v>148</v>
      </c>
      <c r="B40" s="2" t="s">
        <v>149</v>
      </c>
      <c r="C40" s="2" t="s">
        <v>18</v>
      </c>
      <c r="D40" s="2" t="s">
        <v>122</v>
      </c>
      <c r="E40" s="2" t="s">
        <v>20</v>
      </c>
      <c r="F40" s="2" t="s">
        <v>21</v>
      </c>
      <c r="G40" s="2" t="s">
        <v>22</v>
      </c>
      <c r="H40" s="2" t="s">
        <v>58</v>
      </c>
      <c r="I40" s="2">
        <v>5</v>
      </c>
      <c r="J40" s="2">
        <v>5.7</v>
      </c>
      <c r="K40" s="2" t="s">
        <v>26</v>
      </c>
      <c r="L40" s="2">
        <v>3</v>
      </c>
      <c r="M40" s="2" t="s">
        <v>90</v>
      </c>
      <c r="N40" s="2" t="s">
        <v>24</v>
      </c>
      <c r="O40" s="2">
        <v>1</v>
      </c>
      <c r="P40" s="2" t="s">
        <v>66</v>
      </c>
      <c r="Q40" s="2" t="s">
        <v>28</v>
      </c>
      <c r="R40" s="7"/>
      <c r="S40">
        <f t="shared" si="0"/>
        <v>3</v>
      </c>
    </row>
    <row r="41" spans="1:19" x14ac:dyDescent="0.25">
      <c r="A41" s="3" t="s">
        <v>150</v>
      </c>
      <c r="B41" s="3" t="s">
        <v>151</v>
      </c>
      <c r="C41" s="3" t="s">
        <v>49</v>
      </c>
      <c r="D41" s="3" t="s">
        <v>50</v>
      </c>
      <c r="E41" s="3" t="s">
        <v>41</v>
      </c>
      <c r="F41" s="3" t="s">
        <v>42</v>
      </c>
      <c r="G41" s="3" t="s">
        <v>43</v>
      </c>
      <c r="H41" s="3" t="s">
        <v>44</v>
      </c>
      <c r="I41" s="3">
        <v>7.2</v>
      </c>
      <c r="J41" s="3">
        <v>3.1</v>
      </c>
      <c r="K41" s="3" t="s">
        <v>24</v>
      </c>
      <c r="L41" s="3">
        <v>5</v>
      </c>
      <c r="M41" s="3" t="s">
        <v>90</v>
      </c>
      <c r="N41" s="3" t="s">
        <v>26</v>
      </c>
      <c r="O41" s="3">
        <v>1</v>
      </c>
      <c r="P41" s="3" t="s">
        <v>52</v>
      </c>
      <c r="Q41" s="3" t="s">
        <v>53</v>
      </c>
      <c r="R41" s="8"/>
      <c r="S41">
        <f t="shared" si="0"/>
        <v>5</v>
      </c>
    </row>
    <row r="42" spans="1:19" x14ac:dyDescent="0.25">
      <c r="A42" s="2" t="s">
        <v>152</v>
      </c>
      <c r="B42" s="2" t="s">
        <v>153</v>
      </c>
      <c r="C42" s="2" t="s">
        <v>70</v>
      </c>
      <c r="D42" s="2" t="s">
        <v>71</v>
      </c>
      <c r="E42" s="2" t="s">
        <v>33</v>
      </c>
      <c r="F42" s="2" t="s">
        <v>34</v>
      </c>
      <c r="G42" s="2" t="s">
        <v>41</v>
      </c>
      <c r="H42" s="2" t="s">
        <v>35</v>
      </c>
      <c r="I42" s="2">
        <v>9.6</v>
      </c>
      <c r="J42" s="2">
        <v>6.8</v>
      </c>
      <c r="K42" s="2" t="s">
        <v>24</v>
      </c>
      <c r="L42" s="2"/>
      <c r="M42" s="2" t="s">
        <v>59</v>
      </c>
      <c r="N42" s="2" t="s">
        <v>26</v>
      </c>
      <c r="O42" s="2">
        <v>0</v>
      </c>
      <c r="P42" s="2" t="s">
        <v>27</v>
      </c>
      <c r="Q42" s="2" t="s">
        <v>73</v>
      </c>
      <c r="R42" s="7"/>
      <c r="S42">
        <f t="shared" si="0"/>
        <v>0</v>
      </c>
    </row>
    <row r="43" spans="1:19" x14ac:dyDescent="0.25">
      <c r="A43" s="3" t="s">
        <v>154</v>
      </c>
      <c r="B43" s="3" t="s">
        <v>155</v>
      </c>
      <c r="C43" s="3" t="s">
        <v>105</v>
      </c>
      <c r="D43" s="3" t="s">
        <v>106</v>
      </c>
      <c r="E43" s="3" t="s">
        <v>20</v>
      </c>
      <c r="F43" s="3" t="s">
        <v>21</v>
      </c>
      <c r="G43" s="3" t="s">
        <v>22</v>
      </c>
      <c r="H43" s="3" t="s">
        <v>95</v>
      </c>
      <c r="I43" s="3">
        <v>7.3</v>
      </c>
      <c r="J43" s="3">
        <v>5.3</v>
      </c>
      <c r="K43" s="3" t="s">
        <v>24</v>
      </c>
      <c r="L43" s="3">
        <v>5</v>
      </c>
      <c r="M43" s="3" t="s">
        <v>81</v>
      </c>
      <c r="N43" s="3" t="s">
        <v>26</v>
      </c>
      <c r="O43" s="3">
        <v>1</v>
      </c>
      <c r="P43" s="3" t="s">
        <v>52</v>
      </c>
      <c r="Q43" s="3" t="s">
        <v>107</v>
      </c>
      <c r="R43" s="8"/>
      <c r="S43">
        <f t="shared" si="0"/>
        <v>5</v>
      </c>
    </row>
    <row r="44" spans="1:19" x14ac:dyDescent="0.25">
      <c r="A44" s="2" t="s">
        <v>156</v>
      </c>
      <c r="B44" s="2" t="s">
        <v>149</v>
      </c>
      <c r="C44" s="2" t="s">
        <v>63</v>
      </c>
      <c r="D44" s="2" t="s">
        <v>64</v>
      </c>
      <c r="E44" s="2" t="s">
        <v>33</v>
      </c>
      <c r="F44" s="2" t="s">
        <v>34</v>
      </c>
      <c r="G44" s="2" t="s">
        <v>41</v>
      </c>
      <c r="H44" s="2" t="s">
        <v>80</v>
      </c>
      <c r="I44" s="2">
        <v>10.1</v>
      </c>
      <c r="J44" s="2">
        <v>0</v>
      </c>
      <c r="K44" s="2" t="s">
        <v>24</v>
      </c>
      <c r="L44" s="2">
        <v>5</v>
      </c>
      <c r="M44" s="2" t="s">
        <v>25</v>
      </c>
      <c r="N44" s="2" t="s">
        <v>26</v>
      </c>
      <c r="O44" s="2">
        <v>0</v>
      </c>
      <c r="P44" s="2" t="s">
        <v>66</v>
      </c>
      <c r="Q44" s="2" t="s">
        <v>67</v>
      </c>
      <c r="R44" s="7"/>
      <c r="S44">
        <f t="shared" si="0"/>
        <v>5</v>
      </c>
    </row>
    <row r="45" spans="1:19" x14ac:dyDescent="0.25">
      <c r="A45" s="3" t="s">
        <v>157</v>
      </c>
      <c r="B45" s="3" t="s">
        <v>158</v>
      </c>
      <c r="C45" s="3" t="s">
        <v>78</v>
      </c>
      <c r="D45" s="3" t="s">
        <v>79</v>
      </c>
      <c r="E45" s="3" t="s">
        <v>20</v>
      </c>
      <c r="F45" s="3" t="s">
        <v>21</v>
      </c>
      <c r="G45" s="3" t="s">
        <v>43</v>
      </c>
      <c r="H45" s="3" t="s">
        <v>95</v>
      </c>
      <c r="I45" s="3">
        <v>8.3000000000000007</v>
      </c>
      <c r="J45" s="3">
        <v>5.3</v>
      </c>
      <c r="K45" s="3" t="s">
        <v>26</v>
      </c>
      <c r="L45" s="3">
        <v>1</v>
      </c>
      <c r="M45" s="3" t="s">
        <v>59</v>
      </c>
      <c r="N45" s="3" t="s">
        <v>24</v>
      </c>
      <c r="O45" s="3">
        <v>3</v>
      </c>
      <c r="P45" s="3" t="s">
        <v>27</v>
      </c>
      <c r="Q45" s="3" t="s">
        <v>82</v>
      </c>
      <c r="R45" s="8"/>
      <c r="S45">
        <f t="shared" si="0"/>
        <v>1</v>
      </c>
    </row>
    <row r="46" spans="1:19" x14ac:dyDescent="0.25">
      <c r="A46" s="2" t="s">
        <v>159</v>
      </c>
      <c r="B46" s="2" t="s">
        <v>160</v>
      </c>
      <c r="C46" s="2" t="s">
        <v>56</v>
      </c>
      <c r="D46" s="2" t="s">
        <v>57</v>
      </c>
      <c r="E46" s="2" t="s">
        <v>41</v>
      </c>
      <c r="F46" s="2" t="s">
        <v>42</v>
      </c>
      <c r="G46" s="2" t="s">
        <v>43</v>
      </c>
      <c r="H46" s="2" t="s">
        <v>58</v>
      </c>
      <c r="I46" s="2">
        <v>9.6</v>
      </c>
      <c r="J46" s="2">
        <v>6.9</v>
      </c>
      <c r="K46" s="2" t="s">
        <v>24</v>
      </c>
      <c r="L46" s="2">
        <v>4</v>
      </c>
      <c r="M46" s="2" t="s">
        <v>59</v>
      </c>
      <c r="N46" s="2" t="s">
        <v>26</v>
      </c>
      <c r="O46" s="2">
        <v>0</v>
      </c>
      <c r="P46" s="2" t="s">
        <v>13</v>
      </c>
      <c r="Q46" s="2" t="s">
        <v>60</v>
      </c>
      <c r="R46" s="7"/>
      <c r="S46">
        <f t="shared" si="0"/>
        <v>4</v>
      </c>
    </row>
    <row r="47" spans="1:19" x14ac:dyDescent="0.25">
      <c r="A47" s="3" t="s">
        <v>161</v>
      </c>
      <c r="B47" s="3" t="s">
        <v>162</v>
      </c>
      <c r="C47" s="3" t="s">
        <v>70</v>
      </c>
      <c r="D47" s="3" t="s">
        <v>71</v>
      </c>
      <c r="E47" s="3" t="s">
        <v>33</v>
      </c>
      <c r="F47" s="3" t="s">
        <v>34</v>
      </c>
      <c r="G47" s="3" t="s">
        <v>22</v>
      </c>
      <c r="H47" s="3" t="s">
        <v>65</v>
      </c>
      <c r="I47" s="3">
        <v>9.5</v>
      </c>
      <c r="J47" s="3">
        <v>1.1000000000000001</v>
      </c>
      <c r="K47" s="3" t="s">
        <v>24</v>
      </c>
      <c r="L47" s="3">
        <v>4</v>
      </c>
      <c r="M47" s="3" t="s">
        <v>59</v>
      </c>
      <c r="N47" s="3" t="s">
        <v>26</v>
      </c>
      <c r="O47" s="3">
        <v>0</v>
      </c>
      <c r="P47" s="3" t="s">
        <v>45</v>
      </c>
      <c r="Q47" s="3" t="s">
        <v>73</v>
      </c>
      <c r="R47" s="8"/>
      <c r="S47">
        <f t="shared" si="0"/>
        <v>4</v>
      </c>
    </row>
    <row r="48" spans="1:19" x14ac:dyDescent="0.25">
      <c r="A48" s="2" t="s">
        <v>163</v>
      </c>
      <c r="B48" s="2" t="s">
        <v>164</v>
      </c>
      <c r="C48" s="2" t="s">
        <v>85</v>
      </c>
      <c r="D48" s="2" t="s">
        <v>86</v>
      </c>
      <c r="E48" s="2" t="s">
        <v>20</v>
      </c>
      <c r="F48" s="2" t="s">
        <v>21</v>
      </c>
      <c r="G48" s="2" t="s">
        <v>22</v>
      </c>
      <c r="H48" s="2" t="s">
        <v>65</v>
      </c>
      <c r="I48" s="2">
        <v>12</v>
      </c>
      <c r="J48" s="2">
        <v>3.8</v>
      </c>
      <c r="K48" s="2" t="s">
        <v>26</v>
      </c>
      <c r="L48" s="2">
        <v>5</v>
      </c>
      <c r="M48" s="2" t="s">
        <v>59</v>
      </c>
      <c r="N48" s="2" t="s">
        <v>26</v>
      </c>
      <c r="O48" s="2">
        <v>1</v>
      </c>
      <c r="P48" s="2" t="s">
        <v>27</v>
      </c>
      <c r="Q48" s="2" t="s">
        <v>87</v>
      </c>
      <c r="R48" s="7"/>
      <c r="S48">
        <f t="shared" si="0"/>
        <v>5</v>
      </c>
    </row>
    <row r="49" spans="1:19" x14ac:dyDescent="0.25">
      <c r="A49" s="3" t="s">
        <v>165</v>
      </c>
      <c r="B49" s="3" t="s">
        <v>166</v>
      </c>
      <c r="C49" s="3" t="s">
        <v>78</v>
      </c>
      <c r="D49" s="3" t="s">
        <v>79</v>
      </c>
      <c r="E49" s="3" t="s">
        <v>20</v>
      </c>
      <c r="F49" s="3" t="s">
        <v>21</v>
      </c>
      <c r="G49" s="3" t="s">
        <v>43</v>
      </c>
      <c r="H49" s="3" t="s">
        <v>35</v>
      </c>
      <c r="I49" s="3">
        <v>8.1</v>
      </c>
      <c r="J49" s="3">
        <v>0.2</v>
      </c>
      <c r="K49" s="3" t="s">
        <v>26</v>
      </c>
      <c r="L49" s="3">
        <v>3</v>
      </c>
      <c r="M49" s="3" t="s">
        <v>81</v>
      </c>
      <c r="N49" s="3" t="s">
        <v>26</v>
      </c>
      <c r="O49" s="3">
        <v>1</v>
      </c>
      <c r="P49" s="3" t="s">
        <v>52</v>
      </c>
      <c r="Q49" s="3" t="s">
        <v>82</v>
      </c>
      <c r="R49" s="8"/>
      <c r="S49">
        <f t="shared" si="0"/>
        <v>3</v>
      </c>
    </row>
    <row r="50" spans="1:19" x14ac:dyDescent="0.25">
      <c r="A50" s="2" t="s">
        <v>167</v>
      </c>
      <c r="B50" s="2" t="s">
        <v>168</v>
      </c>
      <c r="C50" s="2" t="s">
        <v>49</v>
      </c>
      <c r="D50" s="2" t="s">
        <v>50</v>
      </c>
      <c r="E50" s="2" t="s">
        <v>41</v>
      </c>
      <c r="F50" s="2" t="s">
        <v>42</v>
      </c>
      <c r="G50" s="2" t="s">
        <v>43</v>
      </c>
      <c r="H50" s="2" t="s">
        <v>58</v>
      </c>
      <c r="I50" s="2">
        <v>6.4</v>
      </c>
      <c r="J50" s="2">
        <v>6.3</v>
      </c>
      <c r="K50" s="2" t="s">
        <v>24</v>
      </c>
      <c r="L50" s="2">
        <v>3</v>
      </c>
      <c r="M50" s="2" t="s">
        <v>59</v>
      </c>
      <c r="N50" s="2" t="s">
        <v>26</v>
      </c>
      <c r="O50" s="2">
        <v>1</v>
      </c>
      <c r="P50" s="2" t="s">
        <v>13</v>
      </c>
      <c r="Q50" s="2" t="s">
        <v>53</v>
      </c>
      <c r="R50" s="7"/>
      <c r="S50">
        <f t="shared" si="0"/>
        <v>3</v>
      </c>
    </row>
    <row r="51" spans="1:19" x14ac:dyDescent="0.25">
      <c r="A51" s="3" t="s">
        <v>169</v>
      </c>
      <c r="B51" s="3" t="s">
        <v>170</v>
      </c>
      <c r="C51" s="3" t="s">
        <v>49</v>
      </c>
      <c r="D51" s="3" t="s">
        <v>50</v>
      </c>
      <c r="E51" s="3" t="s">
        <v>41</v>
      </c>
      <c r="F51" s="3" t="s">
        <v>42</v>
      </c>
      <c r="G51" s="3" t="s">
        <v>22</v>
      </c>
      <c r="H51" s="3" t="s">
        <v>95</v>
      </c>
      <c r="I51" s="3">
        <v>5</v>
      </c>
      <c r="J51" s="3">
        <v>3.5</v>
      </c>
      <c r="K51" s="3" t="s">
        <v>26</v>
      </c>
      <c r="L51" s="3">
        <v>3</v>
      </c>
      <c r="M51" s="3" t="s">
        <v>25</v>
      </c>
      <c r="N51" s="3" t="s">
        <v>24</v>
      </c>
      <c r="O51" s="3">
        <v>0</v>
      </c>
      <c r="P51" s="3" t="s">
        <v>27</v>
      </c>
      <c r="Q51" s="3" t="s">
        <v>53</v>
      </c>
      <c r="R51" s="8"/>
      <c r="S51">
        <f t="shared" si="0"/>
        <v>3</v>
      </c>
    </row>
    <row r="52" spans="1:19" x14ac:dyDescent="0.25">
      <c r="A52" s="2" t="s">
        <v>171</v>
      </c>
      <c r="B52" s="2"/>
      <c r="C52" s="2" t="s">
        <v>78</v>
      </c>
      <c r="D52" s="2" t="s">
        <v>172</v>
      </c>
      <c r="E52" s="2" t="s">
        <v>20</v>
      </c>
      <c r="F52" s="2" t="s">
        <v>21</v>
      </c>
      <c r="G52" s="2" t="s">
        <v>41</v>
      </c>
      <c r="H52" s="2" t="s">
        <v>72</v>
      </c>
      <c r="I52" s="2">
        <v>8.1</v>
      </c>
      <c r="J52" s="2">
        <v>0.1</v>
      </c>
      <c r="K52" s="2" t="s">
        <v>24</v>
      </c>
      <c r="L52" s="2">
        <v>5</v>
      </c>
      <c r="M52" s="2" t="s">
        <v>59</v>
      </c>
      <c r="N52" s="2" t="s">
        <v>26</v>
      </c>
      <c r="O52" s="2">
        <v>1</v>
      </c>
      <c r="P52" s="2" t="s">
        <v>27</v>
      </c>
      <c r="Q52" s="2" t="s">
        <v>82</v>
      </c>
      <c r="R52" s="7"/>
      <c r="S52">
        <f t="shared" si="0"/>
        <v>5</v>
      </c>
    </row>
    <row r="53" spans="1:19" x14ac:dyDescent="0.25">
      <c r="A53" s="3" t="s">
        <v>173</v>
      </c>
      <c r="B53" s="3" t="s">
        <v>162</v>
      </c>
      <c r="C53" s="3" t="s">
        <v>78</v>
      </c>
      <c r="D53" s="3" t="s">
        <v>79</v>
      </c>
      <c r="E53" s="3" t="s">
        <v>20</v>
      </c>
      <c r="F53" s="3" t="s">
        <v>21</v>
      </c>
      <c r="G53" s="3" t="s">
        <v>22</v>
      </c>
      <c r="H53" s="3" t="s">
        <v>65</v>
      </c>
      <c r="I53" s="3">
        <v>7.3</v>
      </c>
      <c r="J53" s="3">
        <v>4.2</v>
      </c>
      <c r="K53" s="3" t="s">
        <v>24</v>
      </c>
      <c r="L53" s="3">
        <v>4</v>
      </c>
      <c r="M53" s="3" t="s">
        <v>51</v>
      </c>
      <c r="N53" s="3" t="s">
        <v>26</v>
      </c>
      <c r="O53" s="3">
        <v>1</v>
      </c>
      <c r="P53" s="3" t="s">
        <v>13</v>
      </c>
      <c r="Q53" s="3" t="s">
        <v>82</v>
      </c>
      <c r="R53" s="8"/>
      <c r="S53">
        <f t="shared" si="0"/>
        <v>4</v>
      </c>
    </row>
    <row r="54" spans="1:19" x14ac:dyDescent="0.25">
      <c r="A54" s="2" t="s">
        <v>174</v>
      </c>
      <c r="B54" s="2" t="s">
        <v>175</v>
      </c>
      <c r="C54" s="2" t="s">
        <v>105</v>
      </c>
      <c r="D54" s="2" t="s">
        <v>106</v>
      </c>
      <c r="E54" s="2" t="s">
        <v>20</v>
      </c>
      <c r="F54" s="2" t="s">
        <v>21</v>
      </c>
      <c r="G54" s="2" t="s">
        <v>43</v>
      </c>
      <c r="H54" s="2" t="s">
        <v>95</v>
      </c>
      <c r="I54" s="2">
        <v>11.3</v>
      </c>
      <c r="J54" s="2">
        <v>2.5</v>
      </c>
      <c r="K54" s="2" t="s">
        <v>24</v>
      </c>
      <c r="L54" s="2">
        <v>5</v>
      </c>
      <c r="M54" s="2" t="s">
        <v>81</v>
      </c>
      <c r="N54" s="2" t="s">
        <v>26</v>
      </c>
      <c r="O54" s="2">
        <v>0</v>
      </c>
      <c r="P54" s="2" t="s">
        <v>52</v>
      </c>
      <c r="Q54" s="2" t="s">
        <v>107</v>
      </c>
      <c r="R54" s="7"/>
      <c r="S54">
        <f t="shared" si="0"/>
        <v>5</v>
      </c>
    </row>
    <row r="55" spans="1:19" x14ac:dyDescent="0.25">
      <c r="A55" s="3" t="s">
        <v>176</v>
      </c>
      <c r="B55" s="3" t="s">
        <v>177</v>
      </c>
      <c r="C55" s="3" t="s">
        <v>78</v>
      </c>
      <c r="D55" s="3" t="s">
        <v>79</v>
      </c>
      <c r="E55" s="3" t="s">
        <v>20</v>
      </c>
      <c r="F55" s="3" t="s">
        <v>21</v>
      </c>
      <c r="G55" s="3" t="s">
        <v>22</v>
      </c>
      <c r="H55" s="3" t="s">
        <v>35</v>
      </c>
      <c r="I55" s="3">
        <v>6.5</v>
      </c>
      <c r="J55" s="3">
        <v>4.9000000000000004</v>
      </c>
      <c r="K55" s="3" t="s">
        <v>24</v>
      </c>
      <c r="L55" s="3">
        <v>4</v>
      </c>
      <c r="M55" s="3" t="s">
        <v>25</v>
      </c>
      <c r="N55" s="3" t="s">
        <v>26</v>
      </c>
      <c r="O55" s="3">
        <v>1</v>
      </c>
      <c r="P55" s="3" t="s">
        <v>66</v>
      </c>
      <c r="Q55" s="3" t="s">
        <v>82</v>
      </c>
      <c r="R55" s="8"/>
      <c r="S55">
        <f t="shared" si="0"/>
        <v>4</v>
      </c>
    </row>
    <row r="56" spans="1:19" x14ac:dyDescent="0.25">
      <c r="A56" s="2" t="s">
        <v>178</v>
      </c>
      <c r="B56" s="2" t="s">
        <v>179</v>
      </c>
      <c r="C56" s="2" t="s">
        <v>105</v>
      </c>
      <c r="D56" s="2" t="s">
        <v>106</v>
      </c>
      <c r="E56" s="2" t="s">
        <v>20</v>
      </c>
      <c r="F56" s="2" t="s">
        <v>21</v>
      </c>
      <c r="G56" s="2" t="s">
        <v>43</v>
      </c>
      <c r="H56" s="2" t="s">
        <v>23</v>
      </c>
      <c r="I56" s="2">
        <v>8</v>
      </c>
      <c r="J56" s="2">
        <v>3.3</v>
      </c>
      <c r="K56" s="2" t="s">
        <v>24</v>
      </c>
      <c r="L56" s="2">
        <v>5</v>
      </c>
      <c r="M56" s="2" t="s">
        <v>81</v>
      </c>
      <c r="N56" s="2" t="s">
        <v>26</v>
      </c>
      <c r="O56" s="2">
        <v>0</v>
      </c>
      <c r="P56" s="2" t="s">
        <v>45</v>
      </c>
      <c r="Q56" s="2" t="s">
        <v>107</v>
      </c>
      <c r="R56" s="7"/>
      <c r="S56">
        <f t="shared" si="0"/>
        <v>5</v>
      </c>
    </row>
    <row r="57" spans="1:19" x14ac:dyDescent="0.25">
      <c r="A57" s="3" t="s">
        <v>180</v>
      </c>
      <c r="B57" s="3" t="s">
        <v>181</v>
      </c>
      <c r="C57" s="3" t="s">
        <v>105</v>
      </c>
      <c r="D57" s="3" t="s">
        <v>106</v>
      </c>
      <c r="E57" s="3" t="s">
        <v>20</v>
      </c>
      <c r="F57" s="3" t="s">
        <v>21</v>
      </c>
      <c r="G57" s="3" t="s">
        <v>43</v>
      </c>
      <c r="H57" s="3" t="s">
        <v>95</v>
      </c>
      <c r="I57" s="3">
        <v>6.4</v>
      </c>
      <c r="J57" s="3">
        <v>3</v>
      </c>
      <c r="K57" s="3" t="s">
        <v>24</v>
      </c>
      <c r="L57" s="3">
        <v>4</v>
      </c>
      <c r="M57" s="3" t="s">
        <v>90</v>
      </c>
      <c r="N57" s="3" t="s">
        <v>26</v>
      </c>
      <c r="O57" s="3">
        <v>0</v>
      </c>
      <c r="P57" s="3" t="s">
        <v>27</v>
      </c>
      <c r="Q57" s="3" t="s">
        <v>107</v>
      </c>
      <c r="R57" s="8"/>
      <c r="S57">
        <f t="shared" si="0"/>
        <v>4</v>
      </c>
    </row>
    <row r="58" spans="1:19" x14ac:dyDescent="0.25">
      <c r="A58" s="2" t="s">
        <v>182</v>
      </c>
      <c r="B58" s="2" t="s">
        <v>183</v>
      </c>
      <c r="C58" s="2" t="s">
        <v>70</v>
      </c>
      <c r="D58" s="2" t="s">
        <v>71</v>
      </c>
      <c r="E58" s="2" t="s">
        <v>33</v>
      </c>
      <c r="F58" s="2" t="s">
        <v>34</v>
      </c>
      <c r="G58" s="2" t="s">
        <v>43</v>
      </c>
      <c r="H58" s="2" t="s">
        <v>23</v>
      </c>
      <c r="I58" s="2">
        <v>1.9</v>
      </c>
      <c r="J58" s="2">
        <v>0.8</v>
      </c>
      <c r="K58" s="2" t="s">
        <v>24</v>
      </c>
      <c r="L58" s="2">
        <v>5</v>
      </c>
      <c r="M58" s="2" t="s">
        <v>90</v>
      </c>
      <c r="N58" s="2" t="s">
        <v>26</v>
      </c>
      <c r="O58" s="2">
        <v>0</v>
      </c>
      <c r="P58" s="2" t="s">
        <v>66</v>
      </c>
      <c r="Q58" s="2" t="s">
        <v>73</v>
      </c>
      <c r="R58" s="7"/>
      <c r="S58">
        <f t="shared" si="0"/>
        <v>5</v>
      </c>
    </row>
    <row r="59" spans="1:19" x14ac:dyDescent="0.25">
      <c r="A59" s="3" t="s">
        <v>184</v>
      </c>
      <c r="B59" s="3" t="s">
        <v>185</v>
      </c>
      <c r="C59" s="3" t="s">
        <v>39</v>
      </c>
      <c r="D59" s="3" t="s">
        <v>40</v>
      </c>
      <c r="E59" s="3" t="s">
        <v>41</v>
      </c>
      <c r="F59" s="3" t="s">
        <v>42</v>
      </c>
      <c r="G59" s="3" t="s">
        <v>43</v>
      </c>
      <c r="H59" s="3" t="s">
        <v>58</v>
      </c>
      <c r="I59" s="3">
        <v>4.2</v>
      </c>
      <c r="J59" s="3">
        <v>5.9</v>
      </c>
      <c r="K59" s="3" t="s">
        <v>26</v>
      </c>
      <c r="L59" s="3">
        <v>2</v>
      </c>
      <c r="M59" s="3" t="s">
        <v>51</v>
      </c>
      <c r="N59" s="3" t="s">
        <v>26</v>
      </c>
      <c r="O59" s="3">
        <v>0</v>
      </c>
      <c r="P59" s="3" t="s">
        <v>45</v>
      </c>
      <c r="Q59" s="3" t="s">
        <v>46</v>
      </c>
      <c r="R59" s="8"/>
      <c r="S59">
        <f t="shared" si="0"/>
        <v>2</v>
      </c>
    </row>
    <row r="60" spans="1:19" x14ac:dyDescent="0.25">
      <c r="A60" s="2" t="s">
        <v>186</v>
      </c>
      <c r="B60" s="2" t="s">
        <v>187</v>
      </c>
      <c r="C60" s="2" t="s">
        <v>49</v>
      </c>
      <c r="D60" s="2" t="s">
        <v>50</v>
      </c>
      <c r="E60" s="2" t="s">
        <v>41</v>
      </c>
      <c r="F60" s="2" t="s">
        <v>42</v>
      </c>
      <c r="G60" s="2" t="s">
        <v>22</v>
      </c>
      <c r="H60" s="2" t="s">
        <v>58</v>
      </c>
      <c r="I60" s="2">
        <v>3.7</v>
      </c>
      <c r="J60" s="2">
        <v>3.4</v>
      </c>
      <c r="K60" s="2" t="s">
        <v>26</v>
      </c>
      <c r="L60" s="2">
        <v>2</v>
      </c>
      <c r="M60" s="2" t="s">
        <v>59</v>
      </c>
      <c r="N60" s="2" t="s">
        <v>26</v>
      </c>
      <c r="O60" s="2">
        <v>0</v>
      </c>
      <c r="P60" s="2" t="s">
        <v>52</v>
      </c>
      <c r="Q60" s="2" t="s">
        <v>53</v>
      </c>
      <c r="R60" s="7"/>
      <c r="S60">
        <f t="shared" si="0"/>
        <v>2</v>
      </c>
    </row>
    <row r="61" spans="1:19" x14ac:dyDescent="0.25">
      <c r="A61" s="3" t="s">
        <v>188</v>
      </c>
      <c r="B61" s="3" t="s">
        <v>55</v>
      </c>
      <c r="C61" s="3" t="s">
        <v>63</v>
      </c>
      <c r="D61" s="3" t="s">
        <v>64</v>
      </c>
      <c r="E61" s="3" t="s">
        <v>33</v>
      </c>
      <c r="F61" s="3" t="s">
        <v>34</v>
      </c>
      <c r="G61" s="3" t="s">
        <v>41</v>
      </c>
      <c r="H61" s="3" t="s">
        <v>95</v>
      </c>
      <c r="I61" s="3">
        <v>7.1</v>
      </c>
      <c r="J61" s="3">
        <v>1.9</v>
      </c>
      <c r="K61" s="3" t="s">
        <v>24</v>
      </c>
      <c r="L61" s="3">
        <v>5</v>
      </c>
      <c r="M61" s="3" t="s">
        <v>59</v>
      </c>
      <c r="N61" s="3" t="s">
        <v>26</v>
      </c>
      <c r="O61" s="3">
        <v>1</v>
      </c>
      <c r="P61" s="3" t="s">
        <v>27</v>
      </c>
      <c r="Q61" s="3" t="s">
        <v>67</v>
      </c>
      <c r="R61" s="8"/>
      <c r="S61">
        <f t="shared" si="0"/>
        <v>5</v>
      </c>
    </row>
    <row r="62" spans="1:19" x14ac:dyDescent="0.25">
      <c r="A62" s="2" t="s">
        <v>189</v>
      </c>
      <c r="B62" s="2" t="s">
        <v>190</v>
      </c>
      <c r="C62" s="2" t="s">
        <v>56</v>
      </c>
      <c r="D62" s="2" t="s">
        <v>57</v>
      </c>
      <c r="E62" s="2" t="s">
        <v>41</v>
      </c>
      <c r="F62" s="2" t="s">
        <v>42</v>
      </c>
      <c r="G62" s="2" t="s">
        <v>22</v>
      </c>
      <c r="H62" s="2" t="s">
        <v>72</v>
      </c>
      <c r="I62" s="2">
        <v>7.3</v>
      </c>
      <c r="J62" s="2">
        <v>7.9</v>
      </c>
      <c r="K62" s="2" t="s">
        <v>24</v>
      </c>
      <c r="L62" s="2">
        <v>5</v>
      </c>
      <c r="M62" s="2" t="s">
        <v>59</v>
      </c>
      <c r="N62" s="2" t="s">
        <v>26</v>
      </c>
      <c r="O62" s="2">
        <v>0</v>
      </c>
      <c r="P62" s="2" t="s">
        <v>66</v>
      </c>
      <c r="Q62" s="2" t="s">
        <v>60</v>
      </c>
      <c r="R62" s="7"/>
      <c r="S62">
        <f t="shared" si="0"/>
        <v>5</v>
      </c>
    </row>
    <row r="63" spans="1:19" x14ac:dyDescent="0.25">
      <c r="A63" s="3" t="s">
        <v>191</v>
      </c>
      <c r="B63" s="3" t="s">
        <v>192</v>
      </c>
      <c r="C63" s="3" t="s">
        <v>56</v>
      </c>
      <c r="D63" s="3" t="s">
        <v>57</v>
      </c>
      <c r="E63" s="3" t="s">
        <v>41</v>
      </c>
      <c r="F63" s="3" t="s">
        <v>42</v>
      </c>
      <c r="G63" s="3" t="s">
        <v>22</v>
      </c>
      <c r="H63" s="3" t="s">
        <v>72</v>
      </c>
      <c r="I63" s="3">
        <v>6.7</v>
      </c>
      <c r="J63" s="3">
        <v>2.4</v>
      </c>
      <c r="K63" s="3" t="s">
        <v>24</v>
      </c>
      <c r="L63" s="3">
        <v>4</v>
      </c>
      <c r="M63" s="3" t="s">
        <v>90</v>
      </c>
      <c r="N63" s="3" t="s">
        <v>26</v>
      </c>
      <c r="O63" s="3">
        <v>1</v>
      </c>
      <c r="P63" s="3" t="s">
        <v>13</v>
      </c>
      <c r="Q63" s="3" t="s">
        <v>60</v>
      </c>
      <c r="R63" s="8"/>
      <c r="S63">
        <f t="shared" si="0"/>
        <v>4</v>
      </c>
    </row>
    <row r="64" spans="1:19" x14ac:dyDescent="0.25">
      <c r="A64" s="2" t="s">
        <v>193</v>
      </c>
      <c r="B64" s="2" t="s">
        <v>194</v>
      </c>
      <c r="C64" s="2" t="s">
        <v>49</v>
      </c>
      <c r="D64" s="2" t="s">
        <v>50</v>
      </c>
      <c r="E64" s="2" t="s">
        <v>41</v>
      </c>
      <c r="F64" s="2" t="s">
        <v>42</v>
      </c>
      <c r="G64" s="2" t="s">
        <v>43</v>
      </c>
      <c r="H64" s="2" t="s">
        <v>58</v>
      </c>
      <c r="I64" s="2">
        <v>7.3</v>
      </c>
      <c r="J64" s="2">
        <v>6.6</v>
      </c>
      <c r="K64" s="2" t="s">
        <v>24</v>
      </c>
      <c r="L64" s="2">
        <v>5</v>
      </c>
      <c r="M64" s="2" t="s">
        <v>81</v>
      </c>
      <c r="N64" s="2" t="s">
        <v>26</v>
      </c>
      <c r="O64" s="2">
        <v>0</v>
      </c>
      <c r="P64" s="2" t="s">
        <v>27</v>
      </c>
      <c r="Q64" s="2" t="s">
        <v>53</v>
      </c>
      <c r="R64" s="7"/>
      <c r="S64">
        <f t="shared" si="0"/>
        <v>5</v>
      </c>
    </row>
    <row r="65" spans="1:19" x14ac:dyDescent="0.25">
      <c r="A65" s="3" t="s">
        <v>195</v>
      </c>
      <c r="B65" s="3" t="s">
        <v>170</v>
      </c>
      <c r="C65" s="3" t="s">
        <v>63</v>
      </c>
      <c r="D65" s="3" t="s">
        <v>64</v>
      </c>
      <c r="E65" s="3" t="s">
        <v>33</v>
      </c>
      <c r="F65" s="3" t="s">
        <v>34</v>
      </c>
      <c r="G65" s="3" t="s">
        <v>43</v>
      </c>
      <c r="H65" s="3" t="s">
        <v>58</v>
      </c>
      <c r="I65" s="3">
        <v>5.9</v>
      </c>
      <c r="J65" s="3">
        <v>3.5</v>
      </c>
      <c r="K65" s="3" t="s">
        <v>24</v>
      </c>
      <c r="L65" s="3">
        <v>4</v>
      </c>
      <c r="M65" s="3" t="s">
        <v>90</v>
      </c>
      <c r="N65" s="3" t="s">
        <v>26</v>
      </c>
      <c r="O65" s="3">
        <v>1</v>
      </c>
      <c r="P65" s="3" t="s">
        <v>52</v>
      </c>
      <c r="Q65" s="3" t="s">
        <v>67</v>
      </c>
      <c r="R65" s="8"/>
      <c r="S65">
        <f t="shared" si="0"/>
        <v>4</v>
      </c>
    </row>
    <row r="66" spans="1:19" x14ac:dyDescent="0.25">
      <c r="A66" s="2" t="s">
        <v>196</v>
      </c>
      <c r="B66" s="2" t="s">
        <v>197</v>
      </c>
      <c r="C66" s="2" t="s">
        <v>39</v>
      </c>
      <c r="D66" s="2" t="s">
        <v>40</v>
      </c>
      <c r="E66" s="2" t="s">
        <v>41</v>
      </c>
      <c r="F66" s="2" t="s">
        <v>42</v>
      </c>
      <c r="G66" s="2" t="s">
        <v>41</v>
      </c>
      <c r="H66" s="2" t="s">
        <v>80</v>
      </c>
      <c r="I66" s="2">
        <v>7.1</v>
      </c>
      <c r="J66" s="2">
        <v>2.4</v>
      </c>
      <c r="K66" s="2" t="s">
        <v>24</v>
      </c>
      <c r="L66" s="2">
        <v>4</v>
      </c>
      <c r="M66" s="2" t="s">
        <v>59</v>
      </c>
      <c r="N66" s="2" t="s">
        <v>26</v>
      </c>
      <c r="O66" s="2">
        <v>1</v>
      </c>
      <c r="P66" s="2" t="s">
        <v>27</v>
      </c>
      <c r="Q66" s="2" t="s">
        <v>46</v>
      </c>
      <c r="R66" s="7"/>
      <c r="S66">
        <f t="shared" si="0"/>
        <v>4</v>
      </c>
    </row>
    <row r="67" spans="1:19" x14ac:dyDescent="0.25">
      <c r="A67" s="3" t="s">
        <v>198</v>
      </c>
      <c r="B67" s="3" t="s">
        <v>199</v>
      </c>
      <c r="C67" s="3" t="s">
        <v>49</v>
      </c>
      <c r="D67" s="3" t="s">
        <v>50</v>
      </c>
      <c r="E67" s="3" t="s">
        <v>41</v>
      </c>
      <c r="F67" s="3" t="s">
        <v>42</v>
      </c>
      <c r="G67" s="3" t="s">
        <v>43</v>
      </c>
      <c r="H67" s="3" t="s">
        <v>80</v>
      </c>
      <c r="I67" s="3">
        <v>6</v>
      </c>
      <c r="J67" s="3">
        <v>5.8</v>
      </c>
      <c r="K67" s="3" t="s">
        <v>24</v>
      </c>
      <c r="L67" s="3">
        <v>4</v>
      </c>
      <c r="M67" s="3" t="s">
        <v>25</v>
      </c>
      <c r="N67" s="3" t="s">
        <v>26</v>
      </c>
      <c r="O67" s="3">
        <v>0</v>
      </c>
      <c r="P67" s="3" t="s">
        <v>45</v>
      </c>
      <c r="Q67" s="3" t="s">
        <v>53</v>
      </c>
      <c r="R67" s="8"/>
      <c r="S67">
        <f t="shared" ref="S67:S130" si="1">IFERROR(L67,L68)</f>
        <v>4</v>
      </c>
    </row>
    <row r="68" spans="1:19" x14ac:dyDescent="0.25">
      <c r="A68" s="2" t="s">
        <v>200</v>
      </c>
      <c r="B68" s="2" t="s">
        <v>201</v>
      </c>
      <c r="C68" s="2" t="s">
        <v>70</v>
      </c>
      <c r="D68" s="2" t="s">
        <v>71</v>
      </c>
      <c r="E68" s="2" t="s">
        <v>33</v>
      </c>
      <c r="F68" s="2" t="s">
        <v>34</v>
      </c>
      <c r="G68" s="2" t="s">
        <v>43</v>
      </c>
      <c r="H68" s="2" t="s">
        <v>80</v>
      </c>
      <c r="I68" s="2">
        <v>9.8000000000000007</v>
      </c>
      <c r="J68" s="2">
        <v>7.1</v>
      </c>
      <c r="K68" s="2" t="s">
        <v>26</v>
      </c>
      <c r="L68" s="2">
        <v>3</v>
      </c>
      <c r="M68" s="2" t="s">
        <v>81</v>
      </c>
      <c r="N68" s="2" t="s">
        <v>26</v>
      </c>
      <c r="O68" s="2">
        <v>0</v>
      </c>
      <c r="P68" s="2" t="s">
        <v>66</v>
      </c>
      <c r="Q68" s="2" t="s">
        <v>73</v>
      </c>
      <c r="R68" s="7"/>
      <c r="S68">
        <f t="shared" si="1"/>
        <v>3</v>
      </c>
    </row>
    <row r="69" spans="1:19" x14ac:dyDescent="0.25">
      <c r="A69" s="3" t="s">
        <v>202</v>
      </c>
      <c r="B69" s="3" t="s">
        <v>203</v>
      </c>
      <c r="C69" s="3" t="s">
        <v>105</v>
      </c>
      <c r="D69" s="3" t="s">
        <v>106</v>
      </c>
      <c r="E69" s="3" t="s">
        <v>20</v>
      </c>
      <c r="F69" s="3" t="s">
        <v>21</v>
      </c>
      <c r="G69" s="3" t="s">
        <v>22</v>
      </c>
      <c r="H69" s="3" t="s">
        <v>58</v>
      </c>
      <c r="I69" s="3">
        <v>7.6</v>
      </c>
      <c r="J69" s="3">
        <v>3</v>
      </c>
      <c r="K69" s="3" t="s">
        <v>26</v>
      </c>
      <c r="L69" s="3">
        <v>1</v>
      </c>
      <c r="M69" s="3" t="s">
        <v>25</v>
      </c>
      <c r="N69" s="3" t="s">
        <v>24</v>
      </c>
      <c r="O69" s="3">
        <v>2</v>
      </c>
      <c r="P69" s="3" t="s">
        <v>13</v>
      </c>
      <c r="Q69" s="3" t="s">
        <v>107</v>
      </c>
      <c r="R69" s="8"/>
      <c r="S69">
        <f t="shared" si="1"/>
        <v>1</v>
      </c>
    </row>
    <row r="70" spans="1:19" x14ac:dyDescent="0.25">
      <c r="A70" s="2" t="s">
        <v>204</v>
      </c>
      <c r="B70" s="2" t="s">
        <v>205</v>
      </c>
      <c r="C70" s="2" t="s">
        <v>78</v>
      </c>
      <c r="D70" s="2" t="s">
        <v>79</v>
      </c>
      <c r="E70" s="2" t="s">
        <v>20</v>
      </c>
      <c r="F70" s="2" t="s">
        <v>21</v>
      </c>
      <c r="G70" s="2" t="s">
        <v>43</v>
      </c>
      <c r="H70" s="2" t="s">
        <v>58</v>
      </c>
      <c r="I70" s="2">
        <v>4.8</v>
      </c>
      <c r="J70" s="2">
        <v>4.4000000000000004</v>
      </c>
      <c r="K70" s="2" t="s">
        <v>24</v>
      </c>
      <c r="L70" s="2">
        <v>3</v>
      </c>
      <c r="M70" s="2" t="s">
        <v>59</v>
      </c>
      <c r="N70" s="2" t="s">
        <v>26</v>
      </c>
      <c r="O70" s="2">
        <v>1</v>
      </c>
      <c r="P70" s="2" t="s">
        <v>52</v>
      </c>
      <c r="Q70" s="2" t="s">
        <v>82</v>
      </c>
      <c r="R70" s="7"/>
      <c r="S70">
        <f t="shared" si="1"/>
        <v>3</v>
      </c>
    </row>
    <row r="71" spans="1:19" x14ac:dyDescent="0.25">
      <c r="A71" s="3" t="s">
        <v>206</v>
      </c>
      <c r="B71" s="3" t="s">
        <v>207</v>
      </c>
      <c r="C71" s="3" t="s">
        <v>18</v>
      </c>
      <c r="D71" s="3" t="s">
        <v>122</v>
      </c>
      <c r="E71" s="3" t="s">
        <v>20</v>
      </c>
      <c r="F71" s="3" t="s">
        <v>21</v>
      </c>
      <c r="G71" s="3" t="s">
        <v>41</v>
      </c>
      <c r="H71" s="3" t="s">
        <v>44</v>
      </c>
      <c r="I71" s="3">
        <v>4</v>
      </c>
      <c r="J71" s="3">
        <v>2.6</v>
      </c>
      <c r="K71" s="3" t="s">
        <v>26</v>
      </c>
      <c r="L71" s="3">
        <v>3</v>
      </c>
      <c r="M71" s="3" t="s">
        <v>51</v>
      </c>
      <c r="N71" s="3" t="s">
        <v>24</v>
      </c>
      <c r="O71" s="3">
        <v>1</v>
      </c>
      <c r="P71" s="3" t="s">
        <v>45</v>
      </c>
      <c r="Q71" s="3" t="s">
        <v>28</v>
      </c>
      <c r="R71" s="8"/>
      <c r="S71">
        <f t="shared" si="1"/>
        <v>3</v>
      </c>
    </row>
    <row r="72" spans="1:19" x14ac:dyDescent="0.25">
      <c r="A72" s="2" t="s">
        <v>208</v>
      </c>
      <c r="B72" s="2" t="s">
        <v>209</v>
      </c>
      <c r="C72" s="2" t="s">
        <v>56</v>
      </c>
      <c r="D72" s="2" t="s">
        <v>57</v>
      </c>
      <c r="E72" s="2" t="s">
        <v>41</v>
      </c>
      <c r="F72" s="2" t="s">
        <v>42</v>
      </c>
      <c r="G72" s="2" t="s">
        <v>41</v>
      </c>
      <c r="H72" s="2" t="s">
        <v>44</v>
      </c>
      <c r="I72" s="2"/>
      <c r="J72" s="2">
        <v>6.4</v>
      </c>
      <c r="K72" s="2" t="s">
        <v>24</v>
      </c>
      <c r="L72" s="2">
        <v>4</v>
      </c>
      <c r="M72" s="2" t="s">
        <v>90</v>
      </c>
      <c r="N72" s="2" t="s">
        <v>26</v>
      </c>
      <c r="O72" s="2">
        <v>1</v>
      </c>
      <c r="P72" s="2" t="s">
        <v>66</v>
      </c>
      <c r="Q72" s="2" t="s">
        <v>60</v>
      </c>
      <c r="R72" s="7"/>
      <c r="S72">
        <f t="shared" si="1"/>
        <v>4</v>
      </c>
    </row>
    <row r="73" spans="1:19" x14ac:dyDescent="0.25">
      <c r="A73" s="3" t="s">
        <v>210</v>
      </c>
      <c r="B73" s="3" t="s">
        <v>192</v>
      </c>
      <c r="C73" s="3" t="s">
        <v>56</v>
      </c>
      <c r="D73" s="3" t="s">
        <v>57</v>
      </c>
      <c r="E73" s="3" t="s">
        <v>41</v>
      </c>
      <c r="F73" s="3" t="s">
        <v>42</v>
      </c>
      <c r="G73" s="3" t="s">
        <v>43</v>
      </c>
      <c r="H73" s="3" t="s">
        <v>65</v>
      </c>
      <c r="I73" s="3">
        <v>15.1</v>
      </c>
      <c r="J73" s="3">
        <v>5.9</v>
      </c>
      <c r="K73" s="3" t="s">
        <v>26</v>
      </c>
      <c r="L73" s="3">
        <v>2</v>
      </c>
      <c r="M73" s="3" t="s">
        <v>81</v>
      </c>
      <c r="N73" s="3" t="s">
        <v>26</v>
      </c>
      <c r="O73" s="3">
        <v>0</v>
      </c>
      <c r="P73" s="3" t="s">
        <v>66</v>
      </c>
      <c r="Q73" s="3" t="s">
        <v>60</v>
      </c>
      <c r="R73" s="8"/>
      <c r="S73">
        <f t="shared" si="1"/>
        <v>2</v>
      </c>
    </row>
    <row r="74" spans="1:19" x14ac:dyDescent="0.25">
      <c r="A74" s="2" t="s">
        <v>211</v>
      </c>
      <c r="B74" s="2" t="s">
        <v>212</v>
      </c>
      <c r="C74" s="2" t="s">
        <v>85</v>
      </c>
      <c r="D74" s="2" t="s">
        <v>86</v>
      </c>
      <c r="E74" s="2" t="s">
        <v>20</v>
      </c>
      <c r="F74" s="2" t="s">
        <v>21</v>
      </c>
      <c r="G74" s="2" t="s">
        <v>43</v>
      </c>
      <c r="H74" s="2" t="s">
        <v>72</v>
      </c>
      <c r="I74" s="2">
        <v>8.1999999999999993</v>
      </c>
      <c r="J74" s="2">
        <v>4.0999999999999996</v>
      </c>
      <c r="K74" s="2" t="s">
        <v>24</v>
      </c>
      <c r="L74" s="2">
        <v>4</v>
      </c>
      <c r="M74" s="2" t="s">
        <v>90</v>
      </c>
      <c r="N74" s="2" t="s">
        <v>26</v>
      </c>
      <c r="O74" s="2">
        <v>1</v>
      </c>
      <c r="P74" s="2" t="s">
        <v>66</v>
      </c>
      <c r="Q74" s="2" t="s">
        <v>87</v>
      </c>
      <c r="R74" s="7"/>
      <c r="S74">
        <f t="shared" si="1"/>
        <v>4</v>
      </c>
    </row>
    <row r="75" spans="1:19" x14ac:dyDescent="0.25">
      <c r="A75" s="3" t="s">
        <v>213</v>
      </c>
      <c r="B75" s="3" t="s">
        <v>135</v>
      </c>
      <c r="C75" s="3" t="s">
        <v>78</v>
      </c>
      <c r="D75" s="3" t="s">
        <v>79</v>
      </c>
      <c r="E75" s="3" t="s">
        <v>20</v>
      </c>
      <c r="F75" s="3" t="s">
        <v>21</v>
      </c>
      <c r="G75" s="3" t="s">
        <v>43</v>
      </c>
      <c r="H75" s="3" t="s">
        <v>44</v>
      </c>
      <c r="I75" s="3">
        <v>7</v>
      </c>
      <c r="J75" s="3">
        <v>1.9</v>
      </c>
      <c r="K75" s="3" t="s">
        <v>24</v>
      </c>
      <c r="L75" s="3">
        <v>5</v>
      </c>
      <c r="M75" s="3" t="s">
        <v>25</v>
      </c>
      <c r="N75" s="3" t="s">
        <v>26</v>
      </c>
      <c r="O75" s="3">
        <v>1</v>
      </c>
      <c r="P75" s="3" t="s">
        <v>27</v>
      </c>
      <c r="Q75" s="3" t="s">
        <v>82</v>
      </c>
      <c r="R75" s="8"/>
      <c r="S75">
        <f t="shared" si="1"/>
        <v>5</v>
      </c>
    </row>
    <row r="76" spans="1:19" x14ac:dyDescent="0.25">
      <c r="A76" s="2" t="s">
        <v>214</v>
      </c>
      <c r="B76" s="2" t="s">
        <v>215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43</v>
      </c>
      <c r="H76" s="2" t="s">
        <v>35</v>
      </c>
      <c r="I76" s="2">
        <v>4.0999999999999996</v>
      </c>
      <c r="J76" s="2">
        <v>0.5</v>
      </c>
      <c r="K76" s="2" t="s">
        <v>24</v>
      </c>
      <c r="L76" s="2">
        <v>5</v>
      </c>
      <c r="M76" s="2" t="s">
        <v>51</v>
      </c>
      <c r="N76" s="2" t="s">
        <v>26</v>
      </c>
      <c r="O76" s="2">
        <v>0</v>
      </c>
      <c r="P76" s="2" t="s">
        <v>45</v>
      </c>
      <c r="Q76" s="2" t="s">
        <v>36</v>
      </c>
      <c r="R76" s="7"/>
      <c r="S76">
        <f t="shared" si="1"/>
        <v>5</v>
      </c>
    </row>
    <row r="77" spans="1:19" x14ac:dyDescent="0.25">
      <c r="A77" s="3" t="s">
        <v>216</v>
      </c>
      <c r="B77" s="3" t="s">
        <v>192</v>
      </c>
      <c r="C77" s="3" t="s">
        <v>78</v>
      </c>
      <c r="D77" s="3" t="s">
        <v>172</v>
      </c>
      <c r="E77" s="3" t="s">
        <v>20</v>
      </c>
      <c r="F77" s="3" t="s">
        <v>21</v>
      </c>
      <c r="G77" s="3" t="s">
        <v>41</v>
      </c>
      <c r="H77" s="3" t="s">
        <v>95</v>
      </c>
      <c r="I77" s="3">
        <v>4.9000000000000004</v>
      </c>
      <c r="J77" s="3">
        <v>4.8</v>
      </c>
      <c r="K77" s="3" t="s">
        <v>24</v>
      </c>
      <c r="L77" s="3">
        <v>4</v>
      </c>
      <c r="M77" s="3" t="s">
        <v>59</v>
      </c>
      <c r="N77" s="3" t="s">
        <v>26</v>
      </c>
      <c r="O77" s="3">
        <v>1</v>
      </c>
      <c r="P77" s="3" t="s">
        <v>66</v>
      </c>
      <c r="Q77" s="3" t="s">
        <v>82</v>
      </c>
      <c r="R77" s="8"/>
      <c r="S77">
        <f t="shared" si="1"/>
        <v>4</v>
      </c>
    </row>
    <row r="78" spans="1:19" x14ac:dyDescent="0.25">
      <c r="A78" s="2" t="s">
        <v>217</v>
      </c>
      <c r="B78" s="2" t="s">
        <v>218</v>
      </c>
      <c r="C78" s="2" t="s">
        <v>56</v>
      </c>
      <c r="D78" s="2" t="s">
        <v>57</v>
      </c>
      <c r="E78" s="2" t="s">
        <v>41</v>
      </c>
      <c r="F78" s="2" t="s">
        <v>42</v>
      </c>
      <c r="G78" s="2" t="s">
        <v>43</v>
      </c>
      <c r="H78" s="2" t="s">
        <v>72</v>
      </c>
      <c r="I78" s="2">
        <v>11.1</v>
      </c>
      <c r="J78" s="2">
        <v>4.5</v>
      </c>
      <c r="K78" s="2" t="s">
        <v>24</v>
      </c>
      <c r="L78" s="2">
        <v>4</v>
      </c>
      <c r="M78" s="2" t="s">
        <v>51</v>
      </c>
      <c r="N78" s="2" t="s">
        <v>26</v>
      </c>
      <c r="O78" s="2">
        <v>1</v>
      </c>
      <c r="P78" s="2" t="s">
        <v>45</v>
      </c>
      <c r="Q78" s="2" t="s">
        <v>60</v>
      </c>
      <c r="R78" s="7"/>
      <c r="S78">
        <f t="shared" si="1"/>
        <v>4</v>
      </c>
    </row>
    <row r="79" spans="1:19" x14ac:dyDescent="0.25">
      <c r="A79" s="3" t="s">
        <v>219</v>
      </c>
      <c r="B79" s="3" t="s">
        <v>220</v>
      </c>
      <c r="C79" s="3" t="s">
        <v>105</v>
      </c>
      <c r="D79" s="3" t="s">
        <v>106</v>
      </c>
      <c r="E79" s="3" t="s">
        <v>20</v>
      </c>
      <c r="F79" s="3" t="s">
        <v>21</v>
      </c>
      <c r="G79" s="3" t="s">
        <v>41</v>
      </c>
      <c r="H79" s="3" t="s">
        <v>95</v>
      </c>
      <c r="I79" s="3">
        <v>12.5</v>
      </c>
      <c r="J79" s="3">
        <v>4</v>
      </c>
      <c r="K79" s="3" t="s">
        <v>24</v>
      </c>
      <c r="L79" s="3">
        <v>3</v>
      </c>
      <c r="M79" s="3" t="s">
        <v>90</v>
      </c>
      <c r="N79" s="3" t="s">
        <v>26</v>
      </c>
      <c r="O79" s="3">
        <v>0</v>
      </c>
      <c r="P79" s="3" t="s">
        <v>52</v>
      </c>
      <c r="Q79" s="3" t="s">
        <v>107</v>
      </c>
      <c r="R79" s="8"/>
      <c r="S79">
        <f t="shared" si="1"/>
        <v>3</v>
      </c>
    </row>
    <row r="80" spans="1:19" x14ac:dyDescent="0.25">
      <c r="A80" s="2" t="s">
        <v>221</v>
      </c>
      <c r="B80" s="2" t="s">
        <v>222</v>
      </c>
      <c r="C80" s="2" t="s">
        <v>56</v>
      </c>
      <c r="D80" s="2" t="s">
        <v>57</v>
      </c>
      <c r="E80" s="2" t="s">
        <v>41</v>
      </c>
      <c r="F80" s="2" t="s">
        <v>42</v>
      </c>
      <c r="G80" s="2" t="s">
        <v>22</v>
      </c>
      <c r="H80" s="2" t="s">
        <v>80</v>
      </c>
      <c r="I80" s="2">
        <v>2.9</v>
      </c>
      <c r="J80" s="2">
        <v>5.4</v>
      </c>
      <c r="K80" s="2" t="s">
        <v>24</v>
      </c>
      <c r="L80" s="2">
        <v>5</v>
      </c>
      <c r="M80" s="2" t="s">
        <v>90</v>
      </c>
      <c r="N80" s="2" t="s">
        <v>26</v>
      </c>
      <c r="O80" s="2">
        <v>1</v>
      </c>
      <c r="P80" s="2" t="s">
        <v>66</v>
      </c>
      <c r="Q80" s="2" t="s">
        <v>60</v>
      </c>
      <c r="R80" s="7"/>
      <c r="S80">
        <f t="shared" si="1"/>
        <v>5</v>
      </c>
    </row>
    <row r="81" spans="1:19" x14ac:dyDescent="0.25">
      <c r="A81" s="3" t="s">
        <v>223</v>
      </c>
      <c r="B81" s="3" t="s">
        <v>224</v>
      </c>
      <c r="C81" s="3" t="s">
        <v>18</v>
      </c>
      <c r="D81" s="3" t="s">
        <v>122</v>
      </c>
      <c r="E81" s="3" t="s">
        <v>20</v>
      </c>
      <c r="F81" s="3" t="s">
        <v>21</v>
      </c>
      <c r="G81" s="3" t="s">
        <v>41</v>
      </c>
      <c r="H81" s="3" t="s">
        <v>23</v>
      </c>
      <c r="I81" s="3">
        <v>9.6999999999999993</v>
      </c>
      <c r="J81" s="3">
        <v>2.6</v>
      </c>
      <c r="K81" s="3" t="s">
        <v>24</v>
      </c>
      <c r="L81" s="3">
        <v>5</v>
      </c>
      <c r="M81" s="3" t="s">
        <v>59</v>
      </c>
      <c r="N81" s="3" t="s">
        <v>26</v>
      </c>
      <c r="O81" s="3">
        <v>1</v>
      </c>
      <c r="P81" s="3" t="s">
        <v>52</v>
      </c>
      <c r="Q81" s="3" t="s">
        <v>28</v>
      </c>
      <c r="R81" s="8"/>
      <c r="S81">
        <f t="shared" si="1"/>
        <v>5</v>
      </c>
    </row>
    <row r="82" spans="1:19" x14ac:dyDescent="0.25">
      <c r="A82" s="2" t="s">
        <v>225</v>
      </c>
      <c r="B82" s="2" t="s">
        <v>226</v>
      </c>
      <c r="C82" s="2" t="s">
        <v>49</v>
      </c>
      <c r="D82" s="2" t="s">
        <v>50</v>
      </c>
      <c r="E82" s="2" t="s">
        <v>41</v>
      </c>
      <c r="F82" s="2" t="s">
        <v>42</v>
      </c>
      <c r="G82" s="2" t="s">
        <v>22</v>
      </c>
      <c r="H82" s="2" t="s">
        <v>44</v>
      </c>
      <c r="I82" s="2">
        <v>8</v>
      </c>
      <c r="J82" s="2">
        <v>5</v>
      </c>
      <c r="K82" s="2" t="s">
        <v>24</v>
      </c>
      <c r="L82" s="2"/>
      <c r="M82" s="2" t="s">
        <v>25</v>
      </c>
      <c r="N82" s="2" t="s">
        <v>26</v>
      </c>
      <c r="O82" s="2">
        <v>0</v>
      </c>
      <c r="P82" s="2" t="s">
        <v>27</v>
      </c>
      <c r="Q82" s="2" t="s">
        <v>53</v>
      </c>
      <c r="R82" s="7"/>
      <c r="S82">
        <f t="shared" si="1"/>
        <v>0</v>
      </c>
    </row>
    <row r="83" spans="1:19" x14ac:dyDescent="0.25">
      <c r="A83" s="3" t="s">
        <v>227</v>
      </c>
      <c r="B83" s="3" t="s">
        <v>228</v>
      </c>
      <c r="C83" s="3" t="s">
        <v>85</v>
      </c>
      <c r="D83" s="3" t="s">
        <v>86</v>
      </c>
      <c r="E83" s="3" t="s">
        <v>20</v>
      </c>
      <c r="F83" s="3" t="s">
        <v>21</v>
      </c>
      <c r="G83" s="3" t="s">
        <v>43</v>
      </c>
      <c r="H83" s="3" t="s">
        <v>65</v>
      </c>
      <c r="I83" s="3">
        <v>4.7</v>
      </c>
      <c r="J83" s="3">
        <v>6.6</v>
      </c>
      <c r="K83" s="3" t="s">
        <v>24</v>
      </c>
      <c r="L83" s="3">
        <v>4</v>
      </c>
      <c r="M83" s="3" t="s">
        <v>90</v>
      </c>
      <c r="N83" s="3" t="s">
        <v>26</v>
      </c>
      <c r="O83" s="3">
        <v>0</v>
      </c>
      <c r="P83" s="3" t="s">
        <v>13</v>
      </c>
      <c r="Q83" s="3" t="s">
        <v>87</v>
      </c>
      <c r="R83" s="8"/>
      <c r="S83">
        <f t="shared" si="1"/>
        <v>4</v>
      </c>
    </row>
    <row r="84" spans="1:19" x14ac:dyDescent="0.25">
      <c r="A84" s="2" t="s">
        <v>229</v>
      </c>
      <c r="B84" s="2" t="s">
        <v>130</v>
      </c>
      <c r="C84" s="2" t="s">
        <v>63</v>
      </c>
      <c r="D84" s="2" t="s">
        <v>64</v>
      </c>
      <c r="E84" s="2" t="s">
        <v>33</v>
      </c>
      <c r="F84" s="2" t="s">
        <v>34</v>
      </c>
      <c r="G84" s="2" t="s">
        <v>41</v>
      </c>
      <c r="H84" s="2" t="s">
        <v>23</v>
      </c>
      <c r="I84" s="2">
        <v>13.8</v>
      </c>
      <c r="J84" s="2">
        <v>7.7</v>
      </c>
      <c r="K84" s="2" t="s">
        <v>24</v>
      </c>
      <c r="L84" s="2">
        <v>4</v>
      </c>
      <c r="M84" s="2" t="s">
        <v>51</v>
      </c>
      <c r="N84" s="2" t="s">
        <v>26</v>
      </c>
      <c r="O84" s="2">
        <v>0</v>
      </c>
      <c r="P84" s="2" t="s">
        <v>66</v>
      </c>
      <c r="Q84" s="2" t="s">
        <v>67</v>
      </c>
      <c r="R84" s="7"/>
      <c r="S84">
        <f t="shared" si="1"/>
        <v>4</v>
      </c>
    </row>
    <row r="85" spans="1:19" x14ac:dyDescent="0.25">
      <c r="A85" s="3" t="s">
        <v>230</v>
      </c>
      <c r="B85" s="3" t="s">
        <v>170</v>
      </c>
      <c r="C85" s="3" t="s">
        <v>18</v>
      </c>
      <c r="D85" s="3" t="s">
        <v>122</v>
      </c>
      <c r="E85" s="3" t="s">
        <v>20</v>
      </c>
      <c r="F85" s="3" t="s">
        <v>21</v>
      </c>
      <c r="G85" s="3" t="s">
        <v>43</v>
      </c>
      <c r="H85" s="3" t="s">
        <v>35</v>
      </c>
      <c r="I85" s="3">
        <v>8.9</v>
      </c>
      <c r="J85" s="3">
        <v>7.8</v>
      </c>
      <c r="K85" s="3" t="s">
        <v>26</v>
      </c>
      <c r="L85" s="3">
        <v>2</v>
      </c>
      <c r="M85" s="3" t="s">
        <v>59</v>
      </c>
      <c r="N85" s="3" t="s">
        <v>26</v>
      </c>
      <c r="O85" s="3">
        <v>0</v>
      </c>
      <c r="P85" s="3" t="s">
        <v>52</v>
      </c>
      <c r="Q85" s="3" t="s">
        <v>28</v>
      </c>
      <c r="R85" s="8"/>
      <c r="S85">
        <f t="shared" si="1"/>
        <v>2</v>
      </c>
    </row>
    <row r="86" spans="1:19" x14ac:dyDescent="0.25">
      <c r="A86" s="2" t="s">
        <v>231</v>
      </c>
      <c r="B86" s="2" t="s">
        <v>232</v>
      </c>
      <c r="C86" s="2" t="s">
        <v>63</v>
      </c>
      <c r="D86" s="2" t="s">
        <v>64</v>
      </c>
      <c r="E86" s="2" t="s">
        <v>33</v>
      </c>
      <c r="F86" s="2" t="s">
        <v>34</v>
      </c>
      <c r="G86" s="2" t="s">
        <v>43</v>
      </c>
      <c r="H86" s="2" t="s">
        <v>44</v>
      </c>
      <c r="I86" s="2">
        <v>8.1</v>
      </c>
      <c r="J86" s="2">
        <v>6.5</v>
      </c>
      <c r="K86" s="2" t="s">
        <v>24</v>
      </c>
      <c r="L86" s="2">
        <v>4</v>
      </c>
      <c r="M86" s="2" t="s">
        <v>90</v>
      </c>
      <c r="N86" s="2" t="s">
        <v>26</v>
      </c>
      <c r="O86" s="2">
        <v>0</v>
      </c>
      <c r="P86" s="2" t="s">
        <v>45</v>
      </c>
      <c r="Q86" s="2" t="s">
        <v>67</v>
      </c>
      <c r="R86" s="7"/>
      <c r="S86">
        <f t="shared" si="1"/>
        <v>4</v>
      </c>
    </row>
    <row r="87" spans="1:19" x14ac:dyDescent="0.25">
      <c r="A87" s="3" t="s">
        <v>233</v>
      </c>
      <c r="B87" s="3" t="s">
        <v>234</v>
      </c>
      <c r="C87" s="3" t="s">
        <v>78</v>
      </c>
      <c r="D87" s="3" t="s">
        <v>79</v>
      </c>
      <c r="E87" s="3" t="s">
        <v>20</v>
      </c>
      <c r="F87" s="3" t="s">
        <v>21</v>
      </c>
      <c r="G87" s="3" t="s">
        <v>22</v>
      </c>
      <c r="H87" s="3" t="s">
        <v>95</v>
      </c>
      <c r="I87" s="3">
        <v>9</v>
      </c>
      <c r="J87" s="3">
        <v>2.5</v>
      </c>
      <c r="K87" s="3" t="s">
        <v>24</v>
      </c>
      <c r="L87" s="3">
        <v>4</v>
      </c>
      <c r="M87" s="3" t="s">
        <v>90</v>
      </c>
      <c r="N87" s="3" t="s">
        <v>26</v>
      </c>
      <c r="O87" s="3">
        <v>1</v>
      </c>
      <c r="P87" s="3" t="s">
        <v>13</v>
      </c>
      <c r="Q87" s="3" t="s">
        <v>82</v>
      </c>
      <c r="R87" s="8"/>
      <c r="S87">
        <f t="shared" si="1"/>
        <v>4</v>
      </c>
    </row>
    <row r="88" spans="1:19" x14ac:dyDescent="0.25">
      <c r="A88" s="2" t="s">
        <v>235</v>
      </c>
      <c r="B88" s="2" t="s">
        <v>236</v>
      </c>
      <c r="C88" s="2" t="s">
        <v>85</v>
      </c>
      <c r="D88" s="2" t="s">
        <v>86</v>
      </c>
      <c r="E88" s="2" t="s">
        <v>20</v>
      </c>
      <c r="F88" s="2" t="s">
        <v>21</v>
      </c>
      <c r="G88" s="2" t="s">
        <v>41</v>
      </c>
      <c r="H88" s="2" t="s">
        <v>44</v>
      </c>
      <c r="I88" s="2">
        <v>8.1999999999999993</v>
      </c>
      <c r="J88" s="2">
        <v>2.1</v>
      </c>
      <c r="K88" s="2" t="s">
        <v>24</v>
      </c>
      <c r="L88" s="2">
        <v>5</v>
      </c>
      <c r="M88" s="2" t="s">
        <v>81</v>
      </c>
      <c r="N88" s="2" t="s">
        <v>26</v>
      </c>
      <c r="O88" s="2">
        <v>0</v>
      </c>
      <c r="P88" s="2" t="s">
        <v>13</v>
      </c>
      <c r="Q88" s="2" t="s">
        <v>87</v>
      </c>
      <c r="R88" s="7"/>
      <c r="S88">
        <f t="shared" si="1"/>
        <v>5</v>
      </c>
    </row>
    <row r="89" spans="1:19" x14ac:dyDescent="0.25">
      <c r="A89" s="3" t="s">
        <v>237</v>
      </c>
      <c r="B89" s="3" t="s">
        <v>238</v>
      </c>
      <c r="C89" s="3" t="s">
        <v>105</v>
      </c>
      <c r="D89" s="3" t="s">
        <v>106</v>
      </c>
      <c r="E89" s="3" t="s">
        <v>20</v>
      </c>
      <c r="F89" s="3" t="s">
        <v>21</v>
      </c>
      <c r="G89" s="3" t="s">
        <v>43</v>
      </c>
      <c r="H89" s="3" t="s">
        <v>95</v>
      </c>
      <c r="I89" s="3">
        <v>6.6</v>
      </c>
      <c r="J89" s="3">
        <v>6.1</v>
      </c>
      <c r="K89" s="3" t="s">
        <v>24</v>
      </c>
      <c r="L89" s="3">
        <v>5</v>
      </c>
      <c r="M89" s="3" t="s">
        <v>25</v>
      </c>
      <c r="N89" s="3" t="s">
        <v>26</v>
      </c>
      <c r="O89" s="3">
        <v>1</v>
      </c>
      <c r="P89" s="3" t="s">
        <v>52</v>
      </c>
      <c r="Q89" s="3" t="s">
        <v>107</v>
      </c>
      <c r="R89" s="8"/>
      <c r="S89">
        <f t="shared" si="1"/>
        <v>5</v>
      </c>
    </row>
    <row r="90" spans="1:19" x14ac:dyDescent="0.25">
      <c r="A90" s="2" t="s">
        <v>239</v>
      </c>
      <c r="B90" s="2" t="s">
        <v>240</v>
      </c>
      <c r="C90" s="2" t="s">
        <v>85</v>
      </c>
      <c r="D90" s="2" t="s">
        <v>86</v>
      </c>
      <c r="E90" s="2" t="s">
        <v>20</v>
      </c>
      <c r="F90" s="2" t="s">
        <v>21</v>
      </c>
      <c r="G90" s="2" t="s">
        <v>22</v>
      </c>
      <c r="H90" s="2" t="s">
        <v>23</v>
      </c>
      <c r="I90" s="2">
        <v>10.6</v>
      </c>
      <c r="J90" s="2">
        <v>3.6</v>
      </c>
      <c r="K90" s="2" t="s">
        <v>26</v>
      </c>
      <c r="L90" s="2">
        <v>2</v>
      </c>
      <c r="M90" s="2" t="s">
        <v>81</v>
      </c>
      <c r="N90" s="2" t="s">
        <v>26</v>
      </c>
      <c r="O90" s="2">
        <v>0</v>
      </c>
      <c r="P90" s="2" t="s">
        <v>27</v>
      </c>
      <c r="Q90" s="2" t="s">
        <v>87</v>
      </c>
      <c r="R90" s="7"/>
      <c r="S90">
        <f t="shared" si="1"/>
        <v>2</v>
      </c>
    </row>
    <row r="91" spans="1:19" x14ac:dyDescent="0.25">
      <c r="A91" s="3" t="s">
        <v>241</v>
      </c>
      <c r="B91" s="3" t="s">
        <v>242</v>
      </c>
      <c r="C91" s="3" t="s">
        <v>70</v>
      </c>
      <c r="D91" s="3" t="s">
        <v>71</v>
      </c>
      <c r="E91" s="3" t="s">
        <v>33</v>
      </c>
      <c r="F91" s="3" t="s">
        <v>34</v>
      </c>
      <c r="G91" s="3" t="s">
        <v>22</v>
      </c>
      <c r="H91" s="3" t="s">
        <v>80</v>
      </c>
      <c r="I91" s="3">
        <v>12.7</v>
      </c>
      <c r="J91" s="3">
        <v>5.6</v>
      </c>
      <c r="K91" s="3" t="s">
        <v>26</v>
      </c>
      <c r="L91" s="3">
        <v>3</v>
      </c>
      <c r="M91" s="3" t="s">
        <v>59</v>
      </c>
      <c r="N91" s="3" t="s">
        <v>26</v>
      </c>
      <c r="O91" s="3">
        <v>1</v>
      </c>
      <c r="P91" s="3" t="s">
        <v>27</v>
      </c>
      <c r="Q91" s="3" t="s">
        <v>73</v>
      </c>
      <c r="R91" s="8"/>
      <c r="S91">
        <f t="shared" si="1"/>
        <v>3</v>
      </c>
    </row>
    <row r="92" spans="1:19" x14ac:dyDescent="0.25">
      <c r="A92" s="2" t="s">
        <v>243</v>
      </c>
      <c r="B92" s="2" t="s">
        <v>244</v>
      </c>
      <c r="C92" s="2" t="s">
        <v>105</v>
      </c>
      <c r="D92" s="2" t="s">
        <v>106</v>
      </c>
      <c r="E92" s="2" t="s">
        <v>20</v>
      </c>
      <c r="F92" s="2" t="s">
        <v>21</v>
      </c>
      <c r="G92" s="2" t="s">
        <v>43</v>
      </c>
      <c r="H92" s="2" t="s">
        <v>44</v>
      </c>
      <c r="I92" s="2">
        <v>6.4</v>
      </c>
      <c r="J92" s="2">
        <v>3</v>
      </c>
      <c r="K92" s="2" t="s">
        <v>24</v>
      </c>
      <c r="L92" s="2">
        <v>5</v>
      </c>
      <c r="M92" s="2" t="s">
        <v>25</v>
      </c>
      <c r="N92" s="2" t="s">
        <v>26</v>
      </c>
      <c r="O92" s="2">
        <v>1</v>
      </c>
      <c r="P92" s="2" t="s">
        <v>13</v>
      </c>
      <c r="Q92" s="2" t="s">
        <v>107</v>
      </c>
      <c r="R92" s="7"/>
      <c r="S92">
        <f t="shared" si="1"/>
        <v>5</v>
      </c>
    </row>
    <row r="93" spans="1:19" x14ac:dyDescent="0.25">
      <c r="A93" s="3" t="s">
        <v>245</v>
      </c>
      <c r="B93" s="3" t="s">
        <v>246</v>
      </c>
      <c r="C93" s="3" t="s">
        <v>18</v>
      </c>
      <c r="D93" s="3" t="s">
        <v>122</v>
      </c>
      <c r="E93" s="3" t="s">
        <v>20</v>
      </c>
      <c r="F93" s="3" t="s">
        <v>21</v>
      </c>
      <c r="G93" s="3" t="s">
        <v>43</v>
      </c>
      <c r="H93" s="3" t="s">
        <v>35</v>
      </c>
      <c r="I93" s="3">
        <v>3.7</v>
      </c>
      <c r="J93" s="3">
        <v>5.0999999999999996</v>
      </c>
      <c r="K93" s="3" t="s">
        <v>24</v>
      </c>
      <c r="L93" s="3">
        <v>5</v>
      </c>
      <c r="M93" s="3" t="s">
        <v>90</v>
      </c>
      <c r="N93" s="3" t="s">
        <v>26</v>
      </c>
      <c r="O93" s="3">
        <v>0</v>
      </c>
      <c r="P93" s="3" t="s">
        <v>66</v>
      </c>
      <c r="Q93" s="3" t="s">
        <v>28</v>
      </c>
      <c r="R93" s="8"/>
      <c r="S93">
        <f t="shared" si="1"/>
        <v>5</v>
      </c>
    </row>
    <row r="94" spans="1:19" x14ac:dyDescent="0.25">
      <c r="A94" s="2" t="s">
        <v>247</v>
      </c>
      <c r="B94" s="2" t="s">
        <v>248</v>
      </c>
      <c r="C94" s="2" t="s">
        <v>39</v>
      </c>
      <c r="D94" s="2" t="s">
        <v>40</v>
      </c>
      <c r="E94" s="2" t="s">
        <v>41</v>
      </c>
      <c r="F94" s="2" t="s">
        <v>42</v>
      </c>
      <c r="G94" s="2" t="s">
        <v>43</v>
      </c>
      <c r="H94" s="2" t="s">
        <v>58</v>
      </c>
      <c r="I94" s="2">
        <v>10.3</v>
      </c>
      <c r="J94" s="2">
        <v>6</v>
      </c>
      <c r="K94" s="2" t="s">
        <v>24</v>
      </c>
      <c r="L94" s="2">
        <v>4</v>
      </c>
      <c r="M94" s="2" t="s">
        <v>51</v>
      </c>
      <c r="N94" s="2" t="s">
        <v>26</v>
      </c>
      <c r="O94" s="2">
        <v>0</v>
      </c>
      <c r="P94" s="2" t="s">
        <v>13</v>
      </c>
      <c r="Q94" s="2" t="s">
        <v>46</v>
      </c>
      <c r="R94" s="7"/>
      <c r="S94">
        <f t="shared" si="1"/>
        <v>4</v>
      </c>
    </row>
    <row r="95" spans="1:19" x14ac:dyDescent="0.25">
      <c r="A95" s="3" t="s">
        <v>249</v>
      </c>
      <c r="B95" s="3" t="s">
        <v>89</v>
      </c>
      <c r="C95" s="3" t="s">
        <v>56</v>
      </c>
      <c r="D95" s="3" t="s">
        <v>57</v>
      </c>
      <c r="E95" s="3" t="s">
        <v>41</v>
      </c>
      <c r="F95" s="3" t="s">
        <v>42</v>
      </c>
      <c r="G95" s="3" t="s">
        <v>43</v>
      </c>
      <c r="H95" s="3" t="s">
        <v>95</v>
      </c>
      <c r="I95" s="3">
        <v>6.6</v>
      </c>
      <c r="J95" s="3">
        <v>1.9</v>
      </c>
      <c r="K95" s="3" t="s">
        <v>24</v>
      </c>
      <c r="L95" s="3">
        <v>4</v>
      </c>
      <c r="M95" s="3" t="s">
        <v>90</v>
      </c>
      <c r="N95" s="3" t="s">
        <v>26</v>
      </c>
      <c r="O95" s="3">
        <v>0</v>
      </c>
      <c r="P95" s="3" t="s">
        <v>52</v>
      </c>
      <c r="Q95" s="3" t="s">
        <v>60</v>
      </c>
      <c r="R95" s="8"/>
      <c r="S95">
        <f t="shared" si="1"/>
        <v>4</v>
      </c>
    </row>
    <row r="96" spans="1:19" x14ac:dyDescent="0.25">
      <c r="A96" s="2" t="s">
        <v>250</v>
      </c>
      <c r="B96" s="2" t="s">
        <v>164</v>
      </c>
      <c r="C96" s="2" t="s">
        <v>105</v>
      </c>
      <c r="D96" s="2" t="s">
        <v>106</v>
      </c>
      <c r="E96" s="2" t="s">
        <v>20</v>
      </c>
      <c r="F96" s="2" t="s">
        <v>21</v>
      </c>
      <c r="G96" s="2" t="s">
        <v>22</v>
      </c>
      <c r="H96" s="2" t="s">
        <v>80</v>
      </c>
      <c r="I96" s="2">
        <v>10.7</v>
      </c>
      <c r="J96" s="2">
        <v>2.7</v>
      </c>
      <c r="K96" s="2" t="s">
        <v>24</v>
      </c>
      <c r="L96" s="2">
        <v>4</v>
      </c>
      <c r="M96" s="2" t="s">
        <v>51</v>
      </c>
      <c r="N96" s="2" t="s">
        <v>26</v>
      </c>
      <c r="O96" s="2">
        <v>0</v>
      </c>
      <c r="P96" s="2" t="s">
        <v>45</v>
      </c>
      <c r="Q96" s="2" t="s">
        <v>107</v>
      </c>
      <c r="R96" s="7"/>
      <c r="S96">
        <f t="shared" si="1"/>
        <v>4</v>
      </c>
    </row>
    <row r="97" spans="1:19" x14ac:dyDescent="0.25">
      <c r="A97" s="3" t="s">
        <v>251</v>
      </c>
      <c r="B97" s="3" t="s">
        <v>252</v>
      </c>
      <c r="C97" s="3" t="s">
        <v>39</v>
      </c>
      <c r="D97" s="3" t="s">
        <v>40</v>
      </c>
      <c r="E97" s="3" t="s">
        <v>41</v>
      </c>
      <c r="F97" s="3" t="s">
        <v>42</v>
      </c>
      <c r="G97" s="3" t="s">
        <v>43</v>
      </c>
      <c r="H97" s="3" t="s">
        <v>72</v>
      </c>
      <c r="I97" s="3">
        <v>6.8</v>
      </c>
      <c r="J97" s="3">
        <v>1.9</v>
      </c>
      <c r="K97" s="3" t="s">
        <v>24</v>
      </c>
      <c r="L97" s="3">
        <v>4</v>
      </c>
      <c r="M97" s="3" t="s">
        <v>59</v>
      </c>
      <c r="N97" s="3" t="s">
        <v>26</v>
      </c>
      <c r="O97" s="3">
        <v>1</v>
      </c>
      <c r="P97" s="3" t="s">
        <v>52</v>
      </c>
      <c r="Q97" s="3" t="s">
        <v>46</v>
      </c>
      <c r="R97" s="8"/>
      <c r="S97">
        <f t="shared" si="1"/>
        <v>4</v>
      </c>
    </row>
    <row r="98" spans="1:19" x14ac:dyDescent="0.25">
      <c r="A98" s="2" t="s">
        <v>253</v>
      </c>
      <c r="B98" s="2" t="s">
        <v>254</v>
      </c>
      <c r="C98" s="2" t="s">
        <v>49</v>
      </c>
      <c r="D98" s="2" t="s">
        <v>50</v>
      </c>
      <c r="E98" s="2" t="s">
        <v>41</v>
      </c>
      <c r="F98" s="2" t="s">
        <v>42</v>
      </c>
      <c r="G98" s="2" t="s">
        <v>43</v>
      </c>
      <c r="H98" s="2" t="s">
        <v>23</v>
      </c>
      <c r="I98" s="2">
        <v>1</v>
      </c>
      <c r="J98" s="2">
        <v>1.2</v>
      </c>
      <c r="K98" s="2" t="s">
        <v>24</v>
      </c>
      <c r="L98" s="2">
        <v>4</v>
      </c>
      <c r="M98" s="2" t="s">
        <v>51</v>
      </c>
      <c r="N98" s="2" t="s">
        <v>26</v>
      </c>
      <c r="O98" s="2">
        <v>1</v>
      </c>
      <c r="P98" s="2" t="s">
        <v>66</v>
      </c>
      <c r="Q98" s="2" t="s">
        <v>53</v>
      </c>
      <c r="R98" s="7"/>
      <c r="S98">
        <f t="shared" si="1"/>
        <v>4</v>
      </c>
    </row>
    <row r="99" spans="1:19" x14ac:dyDescent="0.25">
      <c r="A99" s="3" t="s">
        <v>255</v>
      </c>
      <c r="B99" s="3" t="s">
        <v>256</v>
      </c>
      <c r="C99" s="3" t="s">
        <v>78</v>
      </c>
      <c r="D99" s="3" t="s">
        <v>79</v>
      </c>
      <c r="E99" s="3" t="s">
        <v>20</v>
      </c>
      <c r="F99" s="3" t="s">
        <v>21</v>
      </c>
      <c r="G99" s="3" t="s">
        <v>41</v>
      </c>
      <c r="H99" s="3" t="s">
        <v>35</v>
      </c>
      <c r="I99" s="3">
        <v>8.3000000000000007</v>
      </c>
      <c r="J99" s="3">
        <v>2.6</v>
      </c>
      <c r="K99" s="3" t="s">
        <v>24</v>
      </c>
      <c r="L99" s="3">
        <v>5</v>
      </c>
      <c r="M99" s="3" t="s">
        <v>81</v>
      </c>
      <c r="N99" s="3" t="s">
        <v>26</v>
      </c>
      <c r="O99" s="3">
        <v>0</v>
      </c>
      <c r="P99" s="3" t="s">
        <v>13</v>
      </c>
      <c r="Q99" s="3" t="s">
        <v>82</v>
      </c>
      <c r="R99" s="8"/>
      <c r="S99">
        <f t="shared" si="1"/>
        <v>5</v>
      </c>
    </row>
    <row r="100" spans="1:19" x14ac:dyDescent="0.25">
      <c r="A100" s="2" t="s">
        <v>257</v>
      </c>
      <c r="B100" s="2" t="s">
        <v>258</v>
      </c>
      <c r="C100" s="2" t="s">
        <v>18</v>
      </c>
      <c r="D100" s="2" t="s">
        <v>122</v>
      </c>
      <c r="E100" s="2" t="s">
        <v>20</v>
      </c>
      <c r="F100" s="2" t="s">
        <v>21</v>
      </c>
      <c r="G100" s="2" t="s">
        <v>41</v>
      </c>
      <c r="H100" s="2" t="s">
        <v>80</v>
      </c>
      <c r="I100" s="2">
        <v>11.6</v>
      </c>
      <c r="J100" s="2">
        <v>2.4</v>
      </c>
      <c r="K100" s="2" t="s">
        <v>24</v>
      </c>
      <c r="L100" s="2">
        <v>4</v>
      </c>
      <c r="M100" s="2" t="s">
        <v>81</v>
      </c>
      <c r="N100" s="2" t="s">
        <v>26</v>
      </c>
      <c r="O100" s="2">
        <v>1</v>
      </c>
      <c r="P100" s="2" t="s">
        <v>45</v>
      </c>
      <c r="Q100" s="2" t="s">
        <v>28</v>
      </c>
      <c r="R100" s="7"/>
      <c r="S100">
        <f t="shared" si="1"/>
        <v>4</v>
      </c>
    </row>
    <row r="101" spans="1:19" x14ac:dyDescent="0.25">
      <c r="A101" s="3" t="s">
        <v>259</v>
      </c>
      <c r="B101" s="3" t="s">
        <v>260</v>
      </c>
      <c r="C101" s="3" t="s">
        <v>78</v>
      </c>
      <c r="D101" s="3" t="s">
        <v>79</v>
      </c>
      <c r="E101" s="3" t="s">
        <v>20</v>
      </c>
      <c r="F101" s="3" t="s">
        <v>21</v>
      </c>
      <c r="G101" s="3" t="s">
        <v>43</v>
      </c>
      <c r="H101" s="3" t="s">
        <v>95</v>
      </c>
      <c r="I101" s="3">
        <v>6.6</v>
      </c>
      <c r="J101" s="3">
        <v>5.8</v>
      </c>
      <c r="K101" s="3" t="s">
        <v>26</v>
      </c>
      <c r="L101" s="3">
        <v>3</v>
      </c>
      <c r="M101" s="3" t="s">
        <v>90</v>
      </c>
      <c r="N101" s="3" t="s">
        <v>26</v>
      </c>
      <c r="O101" s="3">
        <v>1</v>
      </c>
      <c r="P101" s="3" t="s">
        <v>13</v>
      </c>
      <c r="Q101" s="3" t="s">
        <v>82</v>
      </c>
      <c r="R101" s="8"/>
      <c r="S101">
        <f t="shared" si="1"/>
        <v>3</v>
      </c>
    </row>
    <row r="102" spans="1:19" x14ac:dyDescent="0.25">
      <c r="A102" s="2" t="s">
        <v>261</v>
      </c>
      <c r="B102" s="2"/>
      <c r="C102" s="2" t="s">
        <v>18</v>
      </c>
      <c r="D102" s="2" t="s">
        <v>19</v>
      </c>
      <c r="E102" s="2" t="s">
        <v>20</v>
      </c>
      <c r="F102" s="2" t="s">
        <v>21</v>
      </c>
      <c r="G102" s="2" t="s">
        <v>41</v>
      </c>
      <c r="H102" s="2" t="s">
        <v>80</v>
      </c>
      <c r="I102" s="2">
        <v>6.8</v>
      </c>
      <c r="J102" s="2">
        <v>4.2</v>
      </c>
      <c r="K102" s="2" t="s">
        <v>24</v>
      </c>
      <c r="L102" s="2">
        <v>5</v>
      </c>
      <c r="M102" s="2" t="s">
        <v>25</v>
      </c>
      <c r="N102" s="2" t="s">
        <v>26</v>
      </c>
      <c r="O102" s="2">
        <v>0</v>
      </c>
      <c r="P102" s="2" t="s">
        <v>52</v>
      </c>
      <c r="Q102" s="2" t="s">
        <v>28</v>
      </c>
      <c r="R102" s="7"/>
      <c r="S102">
        <f t="shared" si="1"/>
        <v>5</v>
      </c>
    </row>
    <row r="103" spans="1:19" x14ac:dyDescent="0.25">
      <c r="A103" s="3" t="s">
        <v>262</v>
      </c>
      <c r="B103" s="3" t="s">
        <v>263</v>
      </c>
      <c r="C103" s="3" t="s">
        <v>105</v>
      </c>
      <c r="D103" s="3" t="s">
        <v>106</v>
      </c>
      <c r="E103" s="3" t="s">
        <v>20</v>
      </c>
      <c r="F103" s="3" t="s">
        <v>21</v>
      </c>
      <c r="G103" s="3" t="s">
        <v>22</v>
      </c>
      <c r="H103" s="3" t="s">
        <v>80</v>
      </c>
      <c r="I103" s="3">
        <v>7.9</v>
      </c>
      <c r="J103" s="3">
        <v>5</v>
      </c>
      <c r="K103" s="3" t="s">
        <v>24</v>
      </c>
      <c r="L103" s="3">
        <v>4</v>
      </c>
      <c r="M103" s="3" t="s">
        <v>25</v>
      </c>
      <c r="N103" s="3" t="s">
        <v>26</v>
      </c>
      <c r="O103" s="3">
        <v>1</v>
      </c>
      <c r="P103" s="3" t="s">
        <v>27</v>
      </c>
      <c r="Q103" s="3" t="s">
        <v>107</v>
      </c>
      <c r="R103" s="8"/>
      <c r="S103">
        <f t="shared" si="1"/>
        <v>4</v>
      </c>
    </row>
    <row r="104" spans="1:19" x14ac:dyDescent="0.25">
      <c r="A104" s="2" t="s">
        <v>264</v>
      </c>
      <c r="B104" s="2" t="s">
        <v>265</v>
      </c>
      <c r="C104" s="2" t="s">
        <v>31</v>
      </c>
      <c r="D104" s="2" t="s">
        <v>32</v>
      </c>
      <c r="E104" s="2" t="s">
        <v>33</v>
      </c>
      <c r="F104" s="2" t="s">
        <v>34</v>
      </c>
      <c r="G104" s="2" t="s">
        <v>43</v>
      </c>
      <c r="H104" s="2" t="s">
        <v>58</v>
      </c>
      <c r="I104" s="2">
        <v>3.9</v>
      </c>
      <c r="J104" s="2">
        <v>4.5</v>
      </c>
      <c r="K104" s="2" t="s">
        <v>24</v>
      </c>
      <c r="L104" s="2">
        <v>5</v>
      </c>
      <c r="M104" s="2" t="s">
        <v>59</v>
      </c>
      <c r="N104" s="2" t="s">
        <v>26</v>
      </c>
      <c r="O104" s="2">
        <v>1</v>
      </c>
      <c r="P104" s="2" t="s">
        <v>27</v>
      </c>
      <c r="Q104" s="2" t="s">
        <v>36</v>
      </c>
      <c r="R104" s="7"/>
      <c r="S104">
        <f t="shared" si="1"/>
        <v>5</v>
      </c>
    </row>
    <row r="105" spans="1:19" x14ac:dyDescent="0.25">
      <c r="A105" s="3" t="s">
        <v>266</v>
      </c>
      <c r="B105" s="3" t="s">
        <v>267</v>
      </c>
      <c r="C105" s="3" t="s">
        <v>78</v>
      </c>
      <c r="D105" s="3" t="s">
        <v>79</v>
      </c>
      <c r="E105" s="3" t="s">
        <v>20</v>
      </c>
      <c r="F105" s="3" t="s">
        <v>21</v>
      </c>
      <c r="G105" s="3" t="s">
        <v>43</v>
      </c>
      <c r="H105" s="3" t="s">
        <v>72</v>
      </c>
      <c r="I105" s="3">
        <v>7.1</v>
      </c>
      <c r="J105" s="3">
        <v>3.2</v>
      </c>
      <c r="K105" s="3" t="s">
        <v>26</v>
      </c>
      <c r="L105" s="3">
        <v>1</v>
      </c>
      <c r="M105" s="3" t="s">
        <v>51</v>
      </c>
      <c r="N105" s="3" t="s">
        <v>24</v>
      </c>
      <c r="O105" s="3">
        <v>3</v>
      </c>
      <c r="P105" s="3" t="s">
        <v>45</v>
      </c>
      <c r="Q105" s="3" t="s">
        <v>82</v>
      </c>
      <c r="R105" s="8"/>
      <c r="S105">
        <f t="shared" si="1"/>
        <v>1</v>
      </c>
    </row>
    <row r="106" spans="1:19" x14ac:dyDescent="0.25">
      <c r="A106" s="2" t="s">
        <v>268</v>
      </c>
      <c r="B106" s="2" t="s">
        <v>269</v>
      </c>
      <c r="C106" s="2" t="s">
        <v>39</v>
      </c>
      <c r="D106" s="2" t="s">
        <v>40</v>
      </c>
      <c r="E106" s="2" t="s">
        <v>41</v>
      </c>
      <c r="F106" s="2" t="s">
        <v>42</v>
      </c>
      <c r="G106" s="2" t="s">
        <v>43</v>
      </c>
      <c r="H106" s="2" t="s">
        <v>44</v>
      </c>
      <c r="I106" s="2">
        <v>3.7</v>
      </c>
      <c r="J106" s="2">
        <v>4.9000000000000004</v>
      </c>
      <c r="K106" s="2" t="s">
        <v>24</v>
      </c>
      <c r="L106" s="2">
        <v>5</v>
      </c>
      <c r="M106" s="2" t="s">
        <v>25</v>
      </c>
      <c r="N106" s="2" t="s">
        <v>26</v>
      </c>
      <c r="O106" s="2">
        <v>1</v>
      </c>
      <c r="P106" s="2" t="s">
        <v>27</v>
      </c>
      <c r="Q106" s="2" t="s">
        <v>46</v>
      </c>
      <c r="R106" s="7"/>
      <c r="S106">
        <f t="shared" si="1"/>
        <v>5</v>
      </c>
    </row>
    <row r="107" spans="1:19" x14ac:dyDescent="0.25">
      <c r="A107" s="3" t="s">
        <v>270</v>
      </c>
      <c r="B107" s="3" t="s">
        <v>271</v>
      </c>
      <c r="C107" s="3" t="s">
        <v>56</v>
      </c>
      <c r="D107" s="3" t="s">
        <v>57</v>
      </c>
      <c r="E107" s="3" t="s">
        <v>41</v>
      </c>
      <c r="F107" s="3" t="s">
        <v>42</v>
      </c>
      <c r="G107" s="3" t="s">
        <v>43</v>
      </c>
      <c r="H107" s="3" t="s">
        <v>80</v>
      </c>
      <c r="I107" s="3"/>
      <c r="J107" s="3">
        <v>6.7</v>
      </c>
      <c r="K107" s="3" t="s">
        <v>26</v>
      </c>
      <c r="L107" s="3">
        <v>1</v>
      </c>
      <c r="M107" s="3" t="s">
        <v>25</v>
      </c>
      <c r="N107" s="3" t="s">
        <v>24</v>
      </c>
      <c r="O107" s="3">
        <v>3</v>
      </c>
      <c r="P107" s="3" t="s">
        <v>52</v>
      </c>
      <c r="Q107" s="3" t="s">
        <v>60</v>
      </c>
      <c r="R107" s="8"/>
      <c r="S107">
        <f t="shared" si="1"/>
        <v>1</v>
      </c>
    </row>
    <row r="108" spans="1:19" x14ac:dyDescent="0.25">
      <c r="A108" s="2" t="s">
        <v>272</v>
      </c>
      <c r="B108" s="2" t="s">
        <v>273</v>
      </c>
      <c r="C108" s="2" t="s">
        <v>49</v>
      </c>
      <c r="D108" s="2" t="s">
        <v>50</v>
      </c>
      <c r="E108" s="2" t="s">
        <v>41</v>
      </c>
      <c r="F108" s="2" t="s">
        <v>42</v>
      </c>
      <c r="G108" s="2" t="s">
        <v>43</v>
      </c>
      <c r="H108" s="2" t="s">
        <v>58</v>
      </c>
      <c r="I108" s="2">
        <v>1</v>
      </c>
      <c r="J108" s="2">
        <v>2.5</v>
      </c>
      <c r="K108" s="2" t="s">
        <v>24</v>
      </c>
      <c r="L108" s="2">
        <v>4</v>
      </c>
      <c r="M108" s="2" t="s">
        <v>59</v>
      </c>
      <c r="N108" s="2" t="s">
        <v>26</v>
      </c>
      <c r="O108" s="2">
        <v>1</v>
      </c>
      <c r="P108" s="2" t="s">
        <v>66</v>
      </c>
      <c r="Q108" s="2" t="s">
        <v>53</v>
      </c>
      <c r="R108" s="7"/>
      <c r="S108">
        <f t="shared" si="1"/>
        <v>4</v>
      </c>
    </row>
    <row r="109" spans="1:19" x14ac:dyDescent="0.25">
      <c r="A109" s="3" t="s">
        <v>274</v>
      </c>
      <c r="B109" s="3" t="s">
        <v>260</v>
      </c>
      <c r="C109" s="3" t="s">
        <v>31</v>
      </c>
      <c r="D109" s="3" t="s">
        <v>32</v>
      </c>
      <c r="E109" s="3" t="s">
        <v>33</v>
      </c>
      <c r="F109" s="3" t="s">
        <v>34</v>
      </c>
      <c r="G109" s="3" t="s">
        <v>41</v>
      </c>
      <c r="H109" s="3" t="s">
        <v>72</v>
      </c>
      <c r="I109" s="3">
        <v>5.5</v>
      </c>
      <c r="J109" s="3">
        <v>1.9</v>
      </c>
      <c r="K109" s="3" t="s">
        <v>26</v>
      </c>
      <c r="L109" s="3">
        <v>1</v>
      </c>
      <c r="M109" s="3" t="s">
        <v>25</v>
      </c>
      <c r="N109" s="3" t="s">
        <v>26</v>
      </c>
      <c r="O109" s="3">
        <v>0</v>
      </c>
      <c r="P109" s="3" t="s">
        <v>13</v>
      </c>
      <c r="Q109" s="3" t="s">
        <v>36</v>
      </c>
      <c r="R109" s="8"/>
      <c r="S109">
        <f t="shared" si="1"/>
        <v>1</v>
      </c>
    </row>
    <row r="110" spans="1:19" x14ac:dyDescent="0.25">
      <c r="A110" s="2" t="s">
        <v>275</v>
      </c>
      <c r="B110" s="2" t="s">
        <v>153</v>
      </c>
      <c r="C110" s="2" t="s">
        <v>31</v>
      </c>
      <c r="D110" s="2" t="s">
        <v>32</v>
      </c>
      <c r="E110" s="2" t="s">
        <v>33</v>
      </c>
      <c r="F110" s="2" t="s">
        <v>34</v>
      </c>
      <c r="G110" s="2" t="s">
        <v>43</v>
      </c>
      <c r="H110" s="2" t="s">
        <v>65</v>
      </c>
      <c r="I110" s="2">
        <v>3.3</v>
      </c>
      <c r="J110" s="2">
        <v>2.1</v>
      </c>
      <c r="K110" s="2" t="s">
        <v>24</v>
      </c>
      <c r="L110" s="2">
        <v>3</v>
      </c>
      <c r="M110" s="2" t="s">
        <v>51</v>
      </c>
      <c r="N110" s="2" t="s">
        <v>26</v>
      </c>
      <c r="O110" s="2">
        <v>0</v>
      </c>
      <c r="P110" s="2" t="s">
        <v>66</v>
      </c>
      <c r="Q110" s="2" t="s">
        <v>36</v>
      </c>
      <c r="R110" s="7"/>
      <c r="S110">
        <f t="shared" si="1"/>
        <v>3</v>
      </c>
    </row>
    <row r="111" spans="1:19" x14ac:dyDescent="0.25">
      <c r="A111" s="3" t="s">
        <v>276</v>
      </c>
      <c r="B111" s="3" t="s">
        <v>277</v>
      </c>
      <c r="C111" s="3" t="s">
        <v>70</v>
      </c>
      <c r="D111" s="3" t="s">
        <v>71</v>
      </c>
      <c r="E111" s="3" t="s">
        <v>33</v>
      </c>
      <c r="F111" s="3" t="s">
        <v>34</v>
      </c>
      <c r="G111" s="3" t="s">
        <v>43</v>
      </c>
      <c r="H111" s="3" t="s">
        <v>23</v>
      </c>
      <c r="I111" s="3">
        <v>12.6</v>
      </c>
      <c r="J111" s="3">
        <v>6.6</v>
      </c>
      <c r="K111" s="3" t="s">
        <v>26</v>
      </c>
      <c r="L111" s="3">
        <v>3</v>
      </c>
      <c r="M111" s="3" t="s">
        <v>81</v>
      </c>
      <c r="N111" s="3" t="s">
        <v>26</v>
      </c>
      <c r="O111" s="3">
        <v>0</v>
      </c>
      <c r="P111" s="3" t="s">
        <v>27</v>
      </c>
      <c r="Q111" s="3" t="s">
        <v>73</v>
      </c>
      <c r="R111" s="8"/>
      <c r="S111">
        <f t="shared" si="1"/>
        <v>3</v>
      </c>
    </row>
    <row r="112" spans="1:19" x14ac:dyDescent="0.25">
      <c r="A112" s="2" t="s">
        <v>278</v>
      </c>
      <c r="B112" s="2" t="s">
        <v>117</v>
      </c>
      <c r="C112" s="2" t="s">
        <v>105</v>
      </c>
      <c r="D112" s="2" t="s">
        <v>106</v>
      </c>
      <c r="E112" s="2" t="s">
        <v>20</v>
      </c>
      <c r="F112" s="2" t="s">
        <v>21</v>
      </c>
      <c r="G112" s="2" t="s">
        <v>41</v>
      </c>
      <c r="H112" s="2" t="s">
        <v>58</v>
      </c>
      <c r="I112" s="2">
        <v>10.199999999999999</v>
      </c>
      <c r="J112" s="2">
        <v>5.5</v>
      </c>
      <c r="K112" s="2" t="s">
        <v>26</v>
      </c>
      <c r="L112" s="2">
        <v>2</v>
      </c>
      <c r="M112" s="2" t="s">
        <v>59</v>
      </c>
      <c r="N112" s="2" t="s">
        <v>24</v>
      </c>
      <c r="O112" s="2">
        <v>3</v>
      </c>
      <c r="P112" s="2" t="s">
        <v>66</v>
      </c>
      <c r="Q112" s="2" t="s">
        <v>107</v>
      </c>
      <c r="R112" s="7"/>
      <c r="S112">
        <f t="shared" si="1"/>
        <v>2</v>
      </c>
    </row>
    <row r="113" spans="1:19" x14ac:dyDescent="0.25">
      <c r="A113" s="3" t="s">
        <v>279</v>
      </c>
      <c r="B113" s="3" t="s">
        <v>280</v>
      </c>
      <c r="C113" s="3" t="s">
        <v>31</v>
      </c>
      <c r="D113" s="3" t="s">
        <v>32</v>
      </c>
      <c r="E113" s="3" t="s">
        <v>33</v>
      </c>
      <c r="F113" s="3" t="s">
        <v>34</v>
      </c>
      <c r="G113" s="3" t="s">
        <v>43</v>
      </c>
      <c r="H113" s="3" t="s">
        <v>23</v>
      </c>
      <c r="I113" s="3">
        <v>8.8000000000000007</v>
      </c>
      <c r="J113" s="3">
        <v>3.8</v>
      </c>
      <c r="K113" s="3" t="s">
        <v>24</v>
      </c>
      <c r="L113" s="3">
        <v>5</v>
      </c>
      <c r="M113" s="3" t="s">
        <v>59</v>
      </c>
      <c r="N113" s="3" t="s">
        <v>26</v>
      </c>
      <c r="O113" s="3">
        <v>1</v>
      </c>
      <c r="P113" s="3" t="s">
        <v>52</v>
      </c>
      <c r="Q113" s="3" t="s">
        <v>36</v>
      </c>
      <c r="R113" s="8"/>
      <c r="S113">
        <f t="shared" si="1"/>
        <v>5</v>
      </c>
    </row>
    <row r="114" spans="1:19" x14ac:dyDescent="0.25">
      <c r="A114" s="2" t="s">
        <v>281</v>
      </c>
      <c r="B114" s="2" t="s">
        <v>282</v>
      </c>
      <c r="C114" s="2" t="s">
        <v>39</v>
      </c>
      <c r="D114" s="2" t="s">
        <v>40</v>
      </c>
      <c r="E114" s="2" t="s">
        <v>41</v>
      </c>
      <c r="F114" s="2" t="s">
        <v>42</v>
      </c>
      <c r="G114" s="2" t="s">
        <v>43</v>
      </c>
      <c r="H114" s="2" t="s">
        <v>65</v>
      </c>
      <c r="I114" s="2">
        <v>6.6</v>
      </c>
      <c r="J114" s="2">
        <v>1.9</v>
      </c>
      <c r="K114" s="2" t="s">
        <v>24</v>
      </c>
      <c r="L114" s="2">
        <v>5</v>
      </c>
      <c r="M114" s="2" t="s">
        <v>25</v>
      </c>
      <c r="N114" s="2" t="s">
        <v>26</v>
      </c>
      <c r="O114" s="2">
        <v>0</v>
      </c>
      <c r="P114" s="2" t="s">
        <v>45</v>
      </c>
      <c r="Q114" s="2" t="s">
        <v>46</v>
      </c>
      <c r="R114" s="7"/>
      <c r="S114">
        <f t="shared" si="1"/>
        <v>5</v>
      </c>
    </row>
    <row r="115" spans="1:19" x14ac:dyDescent="0.25">
      <c r="A115" s="3" t="s">
        <v>283</v>
      </c>
      <c r="B115" s="3" t="s">
        <v>240</v>
      </c>
      <c r="C115" s="3" t="s">
        <v>78</v>
      </c>
      <c r="D115" s="3" t="s">
        <v>79</v>
      </c>
      <c r="E115" s="3" t="s">
        <v>20</v>
      </c>
      <c r="F115" s="3" t="s">
        <v>21</v>
      </c>
      <c r="G115" s="3" t="s">
        <v>41</v>
      </c>
      <c r="H115" s="3" t="s">
        <v>35</v>
      </c>
      <c r="I115" s="3">
        <v>5.2</v>
      </c>
      <c r="J115" s="3">
        <v>2.1</v>
      </c>
      <c r="K115" s="3" t="s">
        <v>24</v>
      </c>
      <c r="L115" s="3">
        <v>5</v>
      </c>
      <c r="M115" s="3" t="s">
        <v>59</v>
      </c>
      <c r="N115" s="3" t="s">
        <v>26</v>
      </c>
      <c r="O115" s="3">
        <v>1</v>
      </c>
      <c r="P115" s="3" t="s">
        <v>27</v>
      </c>
      <c r="Q115" s="3" t="s">
        <v>82</v>
      </c>
      <c r="R115" s="8"/>
      <c r="S115">
        <f t="shared" si="1"/>
        <v>5</v>
      </c>
    </row>
    <row r="116" spans="1:19" x14ac:dyDescent="0.25">
      <c r="A116" s="2" t="s">
        <v>284</v>
      </c>
      <c r="B116" s="2" t="s">
        <v>285</v>
      </c>
      <c r="C116" s="2" t="s">
        <v>56</v>
      </c>
      <c r="D116" s="2" t="s">
        <v>57</v>
      </c>
      <c r="E116" s="2" t="s">
        <v>41</v>
      </c>
      <c r="F116" s="2" t="s">
        <v>42</v>
      </c>
      <c r="G116" s="2" t="s">
        <v>22</v>
      </c>
      <c r="H116" s="2" t="s">
        <v>72</v>
      </c>
      <c r="I116" s="2">
        <v>3.2</v>
      </c>
      <c r="J116" s="2">
        <v>5.5</v>
      </c>
      <c r="K116" s="2" t="s">
        <v>26</v>
      </c>
      <c r="L116" s="2">
        <v>2</v>
      </c>
      <c r="M116" s="2" t="s">
        <v>59</v>
      </c>
      <c r="N116" s="2" t="s">
        <v>26</v>
      </c>
      <c r="O116" s="2">
        <v>0</v>
      </c>
      <c r="P116" s="2" t="s">
        <v>52</v>
      </c>
      <c r="Q116" s="2" t="s">
        <v>60</v>
      </c>
      <c r="R116" s="7"/>
      <c r="S116">
        <f t="shared" si="1"/>
        <v>2</v>
      </c>
    </row>
    <row r="117" spans="1:19" x14ac:dyDescent="0.25">
      <c r="A117" s="3" t="s">
        <v>286</v>
      </c>
      <c r="B117" s="3" t="s">
        <v>287</v>
      </c>
      <c r="C117" s="3" t="s">
        <v>63</v>
      </c>
      <c r="D117" s="3" t="s">
        <v>64</v>
      </c>
      <c r="E117" s="3" t="s">
        <v>33</v>
      </c>
      <c r="F117" s="3" t="s">
        <v>34</v>
      </c>
      <c r="G117" s="3" t="s">
        <v>43</v>
      </c>
      <c r="H117" s="3" t="s">
        <v>65</v>
      </c>
      <c r="I117" s="3">
        <v>4.0999999999999996</v>
      </c>
      <c r="J117" s="3">
        <v>5.9</v>
      </c>
      <c r="K117" s="3" t="s">
        <v>24</v>
      </c>
      <c r="L117" s="3">
        <v>4</v>
      </c>
      <c r="M117" s="3" t="s">
        <v>59</v>
      </c>
      <c r="N117" s="3" t="s">
        <v>26</v>
      </c>
      <c r="O117" s="3">
        <v>1</v>
      </c>
      <c r="P117" s="3" t="s">
        <v>66</v>
      </c>
      <c r="Q117" s="3" t="s">
        <v>67</v>
      </c>
      <c r="R117" s="8"/>
      <c r="S117">
        <f t="shared" si="1"/>
        <v>4</v>
      </c>
    </row>
    <row r="118" spans="1:19" x14ac:dyDescent="0.25">
      <c r="A118" s="2" t="s">
        <v>288</v>
      </c>
      <c r="B118" s="2" t="s">
        <v>104</v>
      </c>
      <c r="C118" s="2" t="s">
        <v>18</v>
      </c>
      <c r="D118" s="2" t="s">
        <v>122</v>
      </c>
      <c r="E118" s="2" t="s">
        <v>20</v>
      </c>
      <c r="F118" s="2" t="s">
        <v>21</v>
      </c>
      <c r="G118" s="2" t="s">
        <v>43</v>
      </c>
      <c r="H118" s="2" t="s">
        <v>80</v>
      </c>
      <c r="I118" s="2">
        <v>8.6999999999999993</v>
      </c>
      <c r="J118" s="2">
        <v>3.2</v>
      </c>
      <c r="K118" s="2" t="s">
        <v>26</v>
      </c>
      <c r="L118" s="2">
        <v>2</v>
      </c>
      <c r="M118" s="2" t="s">
        <v>25</v>
      </c>
      <c r="N118" s="2" t="s">
        <v>26</v>
      </c>
      <c r="O118" s="2">
        <v>0</v>
      </c>
      <c r="P118" s="2" t="s">
        <v>27</v>
      </c>
      <c r="Q118" s="2" t="s">
        <v>28</v>
      </c>
      <c r="R118" s="7"/>
      <c r="S118">
        <f t="shared" si="1"/>
        <v>2</v>
      </c>
    </row>
    <row r="119" spans="1:19" x14ac:dyDescent="0.25">
      <c r="A119" s="3" t="s">
        <v>289</v>
      </c>
      <c r="B119" s="3" t="s">
        <v>238</v>
      </c>
      <c r="C119" s="3" t="s">
        <v>49</v>
      </c>
      <c r="D119" s="3" t="s">
        <v>50</v>
      </c>
      <c r="E119" s="3" t="s">
        <v>41</v>
      </c>
      <c r="F119" s="3" t="s">
        <v>42</v>
      </c>
      <c r="G119" s="3" t="s">
        <v>43</v>
      </c>
      <c r="H119" s="3" t="s">
        <v>80</v>
      </c>
      <c r="I119" s="3">
        <v>13</v>
      </c>
      <c r="J119" s="3">
        <v>0.6</v>
      </c>
      <c r="K119" s="3" t="s">
        <v>24</v>
      </c>
      <c r="L119" s="3">
        <v>4</v>
      </c>
      <c r="M119" s="3" t="s">
        <v>25</v>
      </c>
      <c r="N119" s="3" t="s">
        <v>26</v>
      </c>
      <c r="O119" s="3">
        <v>1</v>
      </c>
      <c r="P119" s="3" t="s">
        <v>27</v>
      </c>
      <c r="Q119" s="3" t="s">
        <v>53</v>
      </c>
      <c r="R119" s="8"/>
      <c r="S119">
        <f t="shared" si="1"/>
        <v>4</v>
      </c>
    </row>
    <row r="120" spans="1:19" x14ac:dyDescent="0.25">
      <c r="A120" s="2" t="s">
        <v>290</v>
      </c>
      <c r="B120" s="2" t="s">
        <v>291</v>
      </c>
      <c r="C120" s="2" t="s">
        <v>85</v>
      </c>
      <c r="D120" s="2" t="s">
        <v>86</v>
      </c>
      <c r="E120" s="2" t="s">
        <v>20</v>
      </c>
      <c r="F120" s="2" t="s">
        <v>21</v>
      </c>
      <c r="G120" s="2" t="s">
        <v>43</v>
      </c>
      <c r="H120" s="2" t="s">
        <v>58</v>
      </c>
      <c r="I120" s="2">
        <v>9</v>
      </c>
      <c r="J120" s="2">
        <v>6.8</v>
      </c>
      <c r="K120" s="2" t="s">
        <v>24</v>
      </c>
      <c r="L120" s="2">
        <v>3</v>
      </c>
      <c r="M120" s="2" t="s">
        <v>90</v>
      </c>
      <c r="N120" s="2" t="s">
        <v>26</v>
      </c>
      <c r="O120" s="2">
        <v>1</v>
      </c>
      <c r="P120" s="2" t="s">
        <v>27</v>
      </c>
      <c r="Q120" s="2" t="s">
        <v>87</v>
      </c>
      <c r="R120" s="7"/>
      <c r="S120">
        <f t="shared" si="1"/>
        <v>3</v>
      </c>
    </row>
    <row r="121" spans="1:19" x14ac:dyDescent="0.25">
      <c r="A121" s="3" t="s">
        <v>292</v>
      </c>
      <c r="B121" s="3" t="s">
        <v>205</v>
      </c>
      <c r="C121" s="3" t="s">
        <v>31</v>
      </c>
      <c r="D121" s="3" t="s">
        <v>32</v>
      </c>
      <c r="E121" s="3" t="s">
        <v>33</v>
      </c>
      <c r="F121" s="3" t="s">
        <v>34</v>
      </c>
      <c r="G121" s="3" t="s">
        <v>43</v>
      </c>
      <c r="H121" s="3" t="s">
        <v>23</v>
      </c>
      <c r="I121" s="3">
        <v>10</v>
      </c>
      <c r="J121" s="3">
        <v>0.4</v>
      </c>
      <c r="K121" s="3" t="s">
        <v>24</v>
      </c>
      <c r="L121" s="3">
        <v>5</v>
      </c>
      <c r="M121" s="3" t="s">
        <v>81</v>
      </c>
      <c r="N121" s="3" t="s">
        <v>26</v>
      </c>
      <c r="O121" s="3">
        <v>0</v>
      </c>
      <c r="P121" s="3" t="s">
        <v>27</v>
      </c>
      <c r="Q121" s="3" t="s">
        <v>36</v>
      </c>
      <c r="R121" s="8"/>
      <c r="S121">
        <f t="shared" si="1"/>
        <v>5</v>
      </c>
    </row>
    <row r="122" spans="1:19" x14ac:dyDescent="0.25">
      <c r="A122" s="2" t="s">
        <v>293</v>
      </c>
      <c r="B122" s="2" t="s">
        <v>168</v>
      </c>
      <c r="C122" s="2" t="s">
        <v>78</v>
      </c>
      <c r="D122" s="2" t="s">
        <v>79</v>
      </c>
      <c r="E122" s="2" t="s">
        <v>20</v>
      </c>
      <c r="F122" s="2" t="s">
        <v>21</v>
      </c>
      <c r="G122" s="2" t="s">
        <v>43</v>
      </c>
      <c r="H122" s="2" t="s">
        <v>23</v>
      </c>
      <c r="I122" s="2">
        <v>10.5</v>
      </c>
      <c r="J122" s="2">
        <v>3.1</v>
      </c>
      <c r="K122" s="2" t="s">
        <v>24</v>
      </c>
      <c r="L122" s="2"/>
      <c r="M122" s="2" t="s">
        <v>25</v>
      </c>
      <c r="N122" s="2" t="s">
        <v>26</v>
      </c>
      <c r="O122" s="2">
        <v>1</v>
      </c>
      <c r="P122" s="2" t="s">
        <v>45</v>
      </c>
      <c r="Q122" s="2" t="s">
        <v>82</v>
      </c>
      <c r="R122" s="7"/>
      <c r="S122">
        <f t="shared" si="1"/>
        <v>0</v>
      </c>
    </row>
    <row r="123" spans="1:19" x14ac:dyDescent="0.25">
      <c r="A123" s="3" t="s">
        <v>294</v>
      </c>
      <c r="B123" s="3" t="s">
        <v>295</v>
      </c>
      <c r="C123" s="3" t="s">
        <v>31</v>
      </c>
      <c r="D123" s="3" t="s">
        <v>32</v>
      </c>
      <c r="E123" s="3" t="s">
        <v>33</v>
      </c>
      <c r="F123" s="3" t="s">
        <v>34</v>
      </c>
      <c r="G123" s="3" t="s">
        <v>43</v>
      </c>
      <c r="H123" s="3" t="s">
        <v>65</v>
      </c>
      <c r="I123" s="3">
        <v>5.7</v>
      </c>
      <c r="J123" s="3">
        <v>5.5</v>
      </c>
      <c r="K123" s="3" t="s">
        <v>26</v>
      </c>
      <c r="L123" s="3">
        <v>3</v>
      </c>
      <c r="M123" s="3" t="s">
        <v>51</v>
      </c>
      <c r="N123" s="3" t="s">
        <v>26</v>
      </c>
      <c r="O123" s="3">
        <v>0</v>
      </c>
      <c r="P123" s="3" t="s">
        <v>45</v>
      </c>
      <c r="Q123" s="3" t="s">
        <v>36</v>
      </c>
      <c r="R123" s="8"/>
      <c r="S123">
        <f t="shared" si="1"/>
        <v>3</v>
      </c>
    </row>
    <row r="124" spans="1:19" x14ac:dyDescent="0.25">
      <c r="A124" s="2" t="s">
        <v>296</v>
      </c>
      <c r="B124" s="2" t="s">
        <v>177</v>
      </c>
      <c r="C124" s="2" t="s">
        <v>18</v>
      </c>
      <c r="D124" s="2" t="s">
        <v>122</v>
      </c>
      <c r="E124" s="2" t="s">
        <v>20</v>
      </c>
      <c r="F124" s="2" t="s">
        <v>21</v>
      </c>
      <c r="G124" s="2" t="s">
        <v>43</v>
      </c>
      <c r="H124" s="2" t="s">
        <v>72</v>
      </c>
      <c r="I124" s="2">
        <v>7.4</v>
      </c>
      <c r="J124" s="2">
        <v>6.9</v>
      </c>
      <c r="K124" s="2" t="s">
        <v>24</v>
      </c>
      <c r="L124" s="2">
        <v>4</v>
      </c>
      <c r="M124" s="2" t="s">
        <v>51</v>
      </c>
      <c r="N124" s="2" t="s">
        <v>26</v>
      </c>
      <c r="O124" s="2">
        <v>1</v>
      </c>
      <c r="P124" s="2" t="s">
        <v>52</v>
      </c>
      <c r="Q124" s="2" t="s">
        <v>28</v>
      </c>
      <c r="R124" s="7"/>
      <c r="S124">
        <f t="shared" si="1"/>
        <v>4</v>
      </c>
    </row>
    <row r="125" spans="1:19" x14ac:dyDescent="0.25">
      <c r="A125" s="3" t="s">
        <v>297</v>
      </c>
      <c r="B125" s="3" t="s">
        <v>298</v>
      </c>
      <c r="C125" s="3" t="s">
        <v>49</v>
      </c>
      <c r="D125" s="3" t="s">
        <v>50</v>
      </c>
      <c r="E125" s="3" t="s">
        <v>41</v>
      </c>
      <c r="F125" s="3" t="s">
        <v>42</v>
      </c>
      <c r="G125" s="3" t="s">
        <v>43</v>
      </c>
      <c r="H125" s="3" t="s">
        <v>23</v>
      </c>
      <c r="I125" s="3">
        <v>5.8</v>
      </c>
      <c r="J125" s="3">
        <v>4.7</v>
      </c>
      <c r="K125" s="3" t="s">
        <v>24</v>
      </c>
      <c r="L125" s="3">
        <v>5</v>
      </c>
      <c r="M125" s="3" t="s">
        <v>81</v>
      </c>
      <c r="N125" s="3" t="s">
        <v>26</v>
      </c>
      <c r="O125" s="3">
        <v>1</v>
      </c>
      <c r="P125" s="3" t="s">
        <v>27</v>
      </c>
      <c r="Q125" s="3" t="s">
        <v>53</v>
      </c>
      <c r="R125" s="8"/>
      <c r="S125">
        <f t="shared" si="1"/>
        <v>5</v>
      </c>
    </row>
    <row r="126" spans="1:19" x14ac:dyDescent="0.25">
      <c r="A126" s="2" t="s">
        <v>299</v>
      </c>
      <c r="B126" s="2" t="s">
        <v>263</v>
      </c>
      <c r="C126" s="2" t="s">
        <v>56</v>
      </c>
      <c r="D126" s="2" t="s">
        <v>57</v>
      </c>
      <c r="E126" s="2" t="s">
        <v>41</v>
      </c>
      <c r="F126" s="2" t="s">
        <v>42</v>
      </c>
      <c r="G126" s="2" t="s">
        <v>43</v>
      </c>
      <c r="H126" s="2" t="s">
        <v>80</v>
      </c>
      <c r="I126" s="2">
        <v>9.9</v>
      </c>
      <c r="J126" s="2">
        <v>4.5</v>
      </c>
      <c r="K126" s="2" t="s">
        <v>24</v>
      </c>
      <c r="L126" s="2">
        <v>5</v>
      </c>
      <c r="M126" s="2" t="s">
        <v>25</v>
      </c>
      <c r="N126" s="2" t="s">
        <v>26</v>
      </c>
      <c r="O126" s="2">
        <v>0</v>
      </c>
      <c r="P126" s="2" t="s">
        <v>66</v>
      </c>
      <c r="Q126" s="2" t="s">
        <v>60</v>
      </c>
      <c r="R126" s="7"/>
      <c r="S126">
        <f t="shared" si="1"/>
        <v>5</v>
      </c>
    </row>
    <row r="127" spans="1:19" x14ac:dyDescent="0.25">
      <c r="A127" s="3" t="s">
        <v>300</v>
      </c>
      <c r="B127" s="3" t="s">
        <v>301</v>
      </c>
      <c r="C127" s="3" t="s">
        <v>63</v>
      </c>
      <c r="D127" s="3" t="s">
        <v>302</v>
      </c>
      <c r="E127" s="3" t="s">
        <v>33</v>
      </c>
      <c r="F127" s="3" t="s">
        <v>34</v>
      </c>
      <c r="G127" s="3" t="s">
        <v>41</v>
      </c>
      <c r="H127" s="3" t="s">
        <v>80</v>
      </c>
      <c r="I127" s="3">
        <v>8</v>
      </c>
      <c r="J127" s="3">
        <v>2.8</v>
      </c>
      <c r="K127" s="3" t="s">
        <v>24</v>
      </c>
      <c r="L127" s="3">
        <v>4</v>
      </c>
      <c r="M127" s="3" t="s">
        <v>25</v>
      </c>
      <c r="N127" s="3" t="s">
        <v>26</v>
      </c>
      <c r="O127" s="3">
        <v>0</v>
      </c>
      <c r="P127" s="3" t="s">
        <v>27</v>
      </c>
      <c r="Q127" s="3" t="s">
        <v>67</v>
      </c>
      <c r="R127" s="8"/>
      <c r="S127">
        <f t="shared" si="1"/>
        <v>4</v>
      </c>
    </row>
    <row r="128" spans="1:19" x14ac:dyDescent="0.25">
      <c r="A128" s="2" t="s">
        <v>303</v>
      </c>
      <c r="B128" s="2" t="s">
        <v>304</v>
      </c>
      <c r="C128" s="2" t="s">
        <v>105</v>
      </c>
      <c r="D128" s="2" t="s">
        <v>106</v>
      </c>
      <c r="E128" s="2" t="s">
        <v>20</v>
      </c>
      <c r="F128" s="2" t="s">
        <v>21</v>
      </c>
      <c r="G128" s="2" t="s">
        <v>22</v>
      </c>
      <c r="H128" s="2" t="s">
        <v>44</v>
      </c>
      <c r="I128" s="2">
        <v>4.9000000000000004</v>
      </c>
      <c r="J128" s="2">
        <v>4.9000000000000004</v>
      </c>
      <c r="K128" s="2" t="s">
        <v>26</v>
      </c>
      <c r="L128" s="2">
        <v>2</v>
      </c>
      <c r="M128" s="2" t="s">
        <v>90</v>
      </c>
      <c r="N128" s="2" t="s">
        <v>24</v>
      </c>
      <c r="O128" s="2">
        <v>3</v>
      </c>
      <c r="P128" s="2" t="s">
        <v>27</v>
      </c>
      <c r="Q128" s="2" t="s">
        <v>107</v>
      </c>
      <c r="R128" s="7"/>
      <c r="S128">
        <f t="shared" si="1"/>
        <v>2</v>
      </c>
    </row>
    <row r="129" spans="1:19" x14ac:dyDescent="0.25">
      <c r="A129" s="3" t="s">
        <v>305</v>
      </c>
      <c r="B129" s="3" t="s">
        <v>298</v>
      </c>
      <c r="C129" s="3" t="s">
        <v>39</v>
      </c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44</v>
      </c>
      <c r="I129" s="3">
        <v>10.6</v>
      </c>
      <c r="J129" s="3">
        <v>4.2</v>
      </c>
      <c r="K129" s="3" t="s">
        <v>24</v>
      </c>
      <c r="L129" s="3">
        <v>5</v>
      </c>
      <c r="M129" s="3" t="s">
        <v>25</v>
      </c>
      <c r="N129" s="3" t="s">
        <v>26</v>
      </c>
      <c r="O129" s="3">
        <v>1</v>
      </c>
      <c r="P129" s="3" t="s">
        <v>66</v>
      </c>
      <c r="Q129" s="3" t="s">
        <v>46</v>
      </c>
      <c r="R129" s="8"/>
      <c r="S129">
        <f t="shared" si="1"/>
        <v>5</v>
      </c>
    </row>
    <row r="130" spans="1:19" x14ac:dyDescent="0.25">
      <c r="A130" s="2" t="s">
        <v>306</v>
      </c>
      <c r="B130" s="2" t="s">
        <v>307</v>
      </c>
      <c r="C130" s="2" t="s">
        <v>39</v>
      </c>
      <c r="D130" s="2" t="s">
        <v>40</v>
      </c>
      <c r="E130" s="2" t="s">
        <v>41</v>
      </c>
      <c r="F130" s="2" t="s">
        <v>42</v>
      </c>
      <c r="G130" s="2" t="s">
        <v>43</v>
      </c>
      <c r="H130" s="2" t="s">
        <v>80</v>
      </c>
      <c r="I130" s="2">
        <v>4.9000000000000004</v>
      </c>
      <c r="J130" s="2">
        <v>2.7</v>
      </c>
      <c r="K130" s="2" t="s">
        <v>24</v>
      </c>
      <c r="L130" s="2">
        <v>4</v>
      </c>
      <c r="M130" s="2" t="s">
        <v>81</v>
      </c>
      <c r="N130" s="2" t="s">
        <v>26</v>
      </c>
      <c r="O130" s="2">
        <v>1</v>
      </c>
      <c r="P130" s="2" t="s">
        <v>66</v>
      </c>
      <c r="Q130" s="2" t="s">
        <v>46</v>
      </c>
      <c r="R130" s="7"/>
      <c r="S130">
        <f t="shared" si="1"/>
        <v>4</v>
      </c>
    </row>
    <row r="131" spans="1:19" x14ac:dyDescent="0.25">
      <c r="A131" s="3" t="s">
        <v>308</v>
      </c>
      <c r="B131" s="3" t="s">
        <v>309</v>
      </c>
      <c r="C131" s="3" t="s">
        <v>85</v>
      </c>
      <c r="D131" s="3" t="s">
        <v>86</v>
      </c>
      <c r="E131" s="3" t="s">
        <v>20</v>
      </c>
      <c r="F131" s="3" t="s">
        <v>21</v>
      </c>
      <c r="G131" s="3" t="s">
        <v>43</v>
      </c>
      <c r="H131" s="3" t="s">
        <v>65</v>
      </c>
      <c r="I131" s="3">
        <v>5.5</v>
      </c>
      <c r="J131" s="3">
        <v>2.2000000000000002</v>
      </c>
      <c r="K131" s="3" t="s">
        <v>26</v>
      </c>
      <c r="L131" s="3">
        <v>3</v>
      </c>
      <c r="M131" s="3" t="s">
        <v>90</v>
      </c>
      <c r="N131" s="3" t="s">
        <v>24</v>
      </c>
      <c r="O131" s="3">
        <v>1</v>
      </c>
      <c r="P131" s="3" t="s">
        <v>13</v>
      </c>
      <c r="Q131" s="3" t="s">
        <v>87</v>
      </c>
      <c r="R131" s="8"/>
      <c r="S131">
        <f t="shared" ref="S131:S194" si="2">IFERROR(L131,L132)</f>
        <v>3</v>
      </c>
    </row>
    <row r="132" spans="1:19" x14ac:dyDescent="0.25">
      <c r="A132" s="2" t="s">
        <v>310</v>
      </c>
      <c r="B132" s="2" t="s">
        <v>311</v>
      </c>
      <c r="C132" s="2" t="s">
        <v>70</v>
      </c>
      <c r="D132" s="2" t="s">
        <v>71</v>
      </c>
      <c r="E132" s="2" t="s">
        <v>33</v>
      </c>
      <c r="F132" s="2" t="s">
        <v>34</v>
      </c>
      <c r="G132" s="2" t="s">
        <v>22</v>
      </c>
      <c r="H132" s="2" t="s">
        <v>95</v>
      </c>
      <c r="I132" s="2">
        <v>3.9</v>
      </c>
      <c r="J132" s="2">
        <v>2</v>
      </c>
      <c r="K132" s="2" t="s">
        <v>24</v>
      </c>
      <c r="L132" s="2">
        <v>5</v>
      </c>
      <c r="M132" s="2" t="s">
        <v>51</v>
      </c>
      <c r="N132" s="2" t="s">
        <v>26</v>
      </c>
      <c r="O132" s="2">
        <v>0</v>
      </c>
      <c r="P132" s="2" t="s">
        <v>52</v>
      </c>
      <c r="Q132" s="2" t="s">
        <v>73</v>
      </c>
      <c r="R132" s="7"/>
      <c r="S132">
        <f t="shared" si="2"/>
        <v>5</v>
      </c>
    </row>
    <row r="133" spans="1:19" x14ac:dyDescent="0.25">
      <c r="A133" s="3" t="s">
        <v>312</v>
      </c>
      <c r="B133" s="3" t="s">
        <v>313</v>
      </c>
      <c r="C133" s="3" t="s">
        <v>56</v>
      </c>
      <c r="D133" s="3" t="s">
        <v>57</v>
      </c>
      <c r="E133" s="3" t="s">
        <v>41</v>
      </c>
      <c r="F133" s="3" t="s">
        <v>42</v>
      </c>
      <c r="G133" s="3" t="s">
        <v>22</v>
      </c>
      <c r="H133" s="3" t="s">
        <v>95</v>
      </c>
      <c r="I133" s="3">
        <v>4.5</v>
      </c>
      <c r="J133" s="3">
        <v>8.8000000000000007</v>
      </c>
      <c r="K133" s="3" t="s">
        <v>24</v>
      </c>
      <c r="L133" s="3">
        <v>4</v>
      </c>
      <c r="M133" s="3" t="s">
        <v>90</v>
      </c>
      <c r="N133" s="3" t="s">
        <v>26</v>
      </c>
      <c r="O133" s="3">
        <v>1</v>
      </c>
      <c r="P133" s="3" t="s">
        <v>45</v>
      </c>
      <c r="Q133" s="3" t="s">
        <v>60</v>
      </c>
      <c r="R133" s="8"/>
      <c r="S133">
        <f t="shared" si="2"/>
        <v>4</v>
      </c>
    </row>
    <row r="134" spans="1:19" x14ac:dyDescent="0.25">
      <c r="A134" s="2" t="s">
        <v>314</v>
      </c>
      <c r="B134" s="2" t="s">
        <v>315</v>
      </c>
      <c r="C134" s="2" t="s">
        <v>56</v>
      </c>
      <c r="D134" s="2" t="s">
        <v>57</v>
      </c>
      <c r="E134" s="2" t="s">
        <v>41</v>
      </c>
      <c r="F134" s="2" t="s">
        <v>42</v>
      </c>
      <c r="G134" s="2" t="s">
        <v>43</v>
      </c>
      <c r="H134" s="2" t="s">
        <v>80</v>
      </c>
      <c r="I134" s="2">
        <v>11.3</v>
      </c>
      <c r="J134" s="2">
        <v>4.8</v>
      </c>
      <c r="K134" s="2" t="s">
        <v>24</v>
      </c>
      <c r="L134" s="2">
        <v>4</v>
      </c>
      <c r="M134" s="2" t="s">
        <v>90</v>
      </c>
      <c r="N134" s="2" t="s">
        <v>26</v>
      </c>
      <c r="O134" s="2">
        <v>1</v>
      </c>
      <c r="P134" s="2" t="s">
        <v>45</v>
      </c>
      <c r="Q134" s="2" t="s">
        <v>60</v>
      </c>
      <c r="R134" s="7"/>
      <c r="S134">
        <f t="shared" si="2"/>
        <v>4</v>
      </c>
    </row>
    <row r="135" spans="1:19" x14ac:dyDescent="0.25">
      <c r="A135" s="3" t="s">
        <v>316</v>
      </c>
      <c r="B135" s="3" t="s">
        <v>309</v>
      </c>
      <c r="C135" s="3" t="s">
        <v>18</v>
      </c>
      <c r="D135" s="3" t="s">
        <v>122</v>
      </c>
      <c r="E135" s="3" t="s">
        <v>20</v>
      </c>
      <c r="F135" s="3" t="s">
        <v>21</v>
      </c>
      <c r="G135" s="3" t="s">
        <v>41</v>
      </c>
      <c r="H135" s="3" t="s">
        <v>72</v>
      </c>
      <c r="I135" s="3">
        <v>5.3</v>
      </c>
      <c r="J135" s="3">
        <v>2.4</v>
      </c>
      <c r="K135" s="3" t="s">
        <v>24</v>
      </c>
      <c r="L135" s="3">
        <v>4</v>
      </c>
      <c r="M135" s="3" t="s">
        <v>90</v>
      </c>
      <c r="N135" s="3" t="s">
        <v>26</v>
      </c>
      <c r="O135" s="3">
        <v>0</v>
      </c>
      <c r="P135" s="3" t="s">
        <v>52</v>
      </c>
      <c r="Q135" s="3" t="s">
        <v>28</v>
      </c>
      <c r="R135" s="8"/>
      <c r="S135">
        <f t="shared" si="2"/>
        <v>4</v>
      </c>
    </row>
    <row r="136" spans="1:19" x14ac:dyDescent="0.25">
      <c r="A136" s="2" t="s">
        <v>317</v>
      </c>
      <c r="B136" s="2" t="s">
        <v>318</v>
      </c>
      <c r="C136" s="2" t="s">
        <v>63</v>
      </c>
      <c r="D136" s="2" t="s">
        <v>64</v>
      </c>
      <c r="E136" s="2" t="s">
        <v>33</v>
      </c>
      <c r="F136" s="2" t="s">
        <v>34</v>
      </c>
      <c r="G136" s="2" t="s">
        <v>41</v>
      </c>
      <c r="H136" s="2" t="s">
        <v>65</v>
      </c>
      <c r="I136" s="2">
        <v>1</v>
      </c>
      <c r="J136" s="2">
        <v>4</v>
      </c>
      <c r="K136" s="2" t="s">
        <v>24</v>
      </c>
      <c r="L136" s="2">
        <v>4</v>
      </c>
      <c r="M136" s="2" t="s">
        <v>25</v>
      </c>
      <c r="N136" s="2" t="s">
        <v>26</v>
      </c>
      <c r="O136" s="2">
        <v>1</v>
      </c>
      <c r="P136" s="2" t="s">
        <v>45</v>
      </c>
      <c r="Q136" s="2" t="s">
        <v>67</v>
      </c>
      <c r="R136" s="7"/>
      <c r="S136">
        <f t="shared" si="2"/>
        <v>4</v>
      </c>
    </row>
    <row r="137" spans="1:19" x14ac:dyDescent="0.25">
      <c r="A137" s="3" t="s">
        <v>319</v>
      </c>
      <c r="B137" s="3" t="s">
        <v>102</v>
      </c>
      <c r="C137" s="3" t="s">
        <v>63</v>
      </c>
      <c r="D137" s="3" t="s">
        <v>64</v>
      </c>
      <c r="E137" s="3" t="s">
        <v>33</v>
      </c>
      <c r="F137" s="3" t="s">
        <v>34</v>
      </c>
      <c r="G137" s="3" t="s">
        <v>43</v>
      </c>
      <c r="H137" s="3" t="s">
        <v>44</v>
      </c>
      <c r="I137" s="3">
        <v>11.6</v>
      </c>
      <c r="J137" s="3">
        <v>3.9</v>
      </c>
      <c r="K137" s="3" t="s">
        <v>24</v>
      </c>
      <c r="L137" s="3">
        <v>4</v>
      </c>
      <c r="M137" s="3" t="s">
        <v>59</v>
      </c>
      <c r="N137" s="3" t="s">
        <v>26</v>
      </c>
      <c r="O137" s="3">
        <v>1</v>
      </c>
      <c r="P137" s="3" t="s">
        <v>66</v>
      </c>
      <c r="Q137" s="3" t="s">
        <v>67</v>
      </c>
      <c r="R137" s="8"/>
      <c r="S137">
        <f t="shared" si="2"/>
        <v>4</v>
      </c>
    </row>
    <row r="138" spans="1:19" x14ac:dyDescent="0.25">
      <c r="A138" s="2" t="s">
        <v>320</v>
      </c>
      <c r="B138" s="2" t="s">
        <v>287</v>
      </c>
      <c r="C138" s="2" t="s">
        <v>56</v>
      </c>
      <c r="D138" s="2" t="s">
        <v>57</v>
      </c>
      <c r="E138" s="2" t="s">
        <v>41</v>
      </c>
      <c r="F138" s="2" t="s">
        <v>42</v>
      </c>
      <c r="G138" s="2" t="s">
        <v>43</v>
      </c>
      <c r="H138" s="2" t="s">
        <v>65</v>
      </c>
      <c r="I138" s="2">
        <v>12</v>
      </c>
      <c r="J138" s="2">
        <v>4.9000000000000004</v>
      </c>
      <c r="K138" s="2" t="s">
        <v>26</v>
      </c>
      <c r="L138" s="2">
        <v>4</v>
      </c>
      <c r="M138" s="2" t="s">
        <v>90</v>
      </c>
      <c r="N138" s="2" t="s">
        <v>24</v>
      </c>
      <c r="O138" s="2">
        <v>3</v>
      </c>
      <c r="P138" s="2" t="s">
        <v>66</v>
      </c>
      <c r="Q138" s="2" t="s">
        <v>60</v>
      </c>
      <c r="R138" s="7"/>
      <c r="S138">
        <f t="shared" si="2"/>
        <v>4</v>
      </c>
    </row>
    <row r="139" spans="1:19" x14ac:dyDescent="0.25">
      <c r="A139" s="3" t="s">
        <v>321</v>
      </c>
      <c r="B139" s="3" t="s">
        <v>218</v>
      </c>
      <c r="C139" s="3" t="s">
        <v>56</v>
      </c>
      <c r="D139" s="3" t="s">
        <v>57</v>
      </c>
      <c r="E139" s="3" t="s">
        <v>41</v>
      </c>
      <c r="F139" s="3" t="s">
        <v>42</v>
      </c>
      <c r="G139" s="3" t="s">
        <v>41</v>
      </c>
      <c r="H139" s="3" t="s">
        <v>58</v>
      </c>
      <c r="I139" s="3">
        <v>4.5</v>
      </c>
      <c r="J139" s="3">
        <v>0.2</v>
      </c>
      <c r="K139" s="3" t="s">
        <v>24</v>
      </c>
      <c r="L139" s="3">
        <v>4</v>
      </c>
      <c r="M139" s="3" t="s">
        <v>90</v>
      </c>
      <c r="N139" s="3" t="s">
        <v>26</v>
      </c>
      <c r="O139" s="3">
        <v>1</v>
      </c>
      <c r="P139" s="3" t="s">
        <v>13</v>
      </c>
      <c r="Q139" s="3" t="s">
        <v>60</v>
      </c>
      <c r="R139" s="8"/>
      <c r="S139">
        <f t="shared" si="2"/>
        <v>4</v>
      </c>
    </row>
    <row r="140" spans="1:19" x14ac:dyDescent="0.25">
      <c r="A140" s="2" t="s">
        <v>322</v>
      </c>
      <c r="B140" s="2" t="s">
        <v>323</v>
      </c>
      <c r="C140" s="2" t="s">
        <v>39</v>
      </c>
      <c r="D140" s="2" t="s">
        <v>40</v>
      </c>
      <c r="E140" s="2" t="s">
        <v>41</v>
      </c>
      <c r="F140" s="2" t="s">
        <v>42</v>
      </c>
      <c r="G140" s="2" t="s">
        <v>41</v>
      </c>
      <c r="H140" s="2" t="s">
        <v>80</v>
      </c>
      <c r="I140" s="2">
        <v>6.3</v>
      </c>
      <c r="J140" s="2">
        <v>2.6</v>
      </c>
      <c r="K140" s="2" t="s">
        <v>26</v>
      </c>
      <c r="L140" s="2">
        <v>2</v>
      </c>
      <c r="M140" s="2" t="s">
        <v>25</v>
      </c>
      <c r="N140" s="2" t="s">
        <v>26</v>
      </c>
      <c r="O140" s="2">
        <v>0</v>
      </c>
      <c r="P140" s="2" t="s">
        <v>52</v>
      </c>
      <c r="Q140" s="2" t="s">
        <v>46</v>
      </c>
      <c r="R140" s="7"/>
      <c r="S140">
        <f t="shared" si="2"/>
        <v>2</v>
      </c>
    </row>
    <row r="141" spans="1:19" x14ac:dyDescent="0.25">
      <c r="A141" s="3" t="s">
        <v>324</v>
      </c>
      <c r="B141" s="3" t="s">
        <v>55</v>
      </c>
      <c r="C141" s="3" t="s">
        <v>78</v>
      </c>
      <c r="D141" s="3" t="s">
        <v>79</v>
      </c>
      <c r="E141" s="3" t="s">
        <v>20</v>
      </c>
      <c r="F141" s="3" t="s">
        <v>21</v>
      </c>
      <c r="G141" s="3" t="s">
        <v>43</v>
      </c>
      <c r="H141" s="3" t="s">
        <v>65</v>
      </c>
      <c r="I141" s="3">
        <v>8.9</v>
      </c>
      <c r="J141" s="3">
        <v>5.3</v>
      </c>
      <c r="K141" s="3" t="s">
        <v>24</v>
      </c>
      <c r="L141" s="3">
        <v>5</v>
      </c>
      <c r="M141" s="3" t="s">
        <v>81</v>
      </c>
      <c r="N141" s="3" t="s">
        <v>26</v>
      </c>
      <c r="O141" s="3">
        <v>1</v>
      </c>
      <c r="P141" s="3" t="s">
        <v>13</v>
      </c>
      <c r="Q141" s="3" t="s">
        <v>82</v>
      </c>
      <c r="R141" s="8"/>
      <c r="S141">
        <f t="shared" si="2"/>
        <v>5</v>
      </c>
    </row>
    <row r="142" spans="1:19" x14ac:dyDescent="0.25">
      <c r="A142" s="2" t="s">
        <v>325</v>
      </c>
      <c r="B142" s="2" t="s">
        <v>309</v>
      </c>
      <c r="C142" s="2" t="s">
        <v>78</v>
      </c>
      <c r="D142" s="2" t="s">
        <v>79</v>
      </c>
      <c r="E142" s="2" t="s">
        <v>20</v>
      </c>
      <c r="F142" s="2" t="s">
        <v>21</v>
      </c>
      <c r="G142" s="2" t="s">
        <v>41</v>
      </c>
      <c r="H142" s="2" t="s">
        <v>65</v>
      </c>
      <c r="I142" s="2"/>
      <c r="J142" s="2">
        <v>3.2</v>
      </c>
      <c r="K142" s="2" t="s">
        <v>24</v>
      </c>
      <c r="L142" s="2">
        <v>5</v>
      </c>
      <c r="M142" s="2" t="s">
        <v>51</v>
      </c>
      <c r="N142" s="2" t="s">
        <v>26</v>
      </c>
      <c r="O142" s="2">
        <v>0</v>
      </c>
      <c r="P142" s="2" t="s">
        <v>66</v>
      </c>
      <c r="Q142" s="2" t="s">
        <v>82</v>
      </c>
      <c r="R142" s="7"/>
      <c r="S142">
        <f t="shared" si="2"/>
        <v>5</v>
      </c>
    </row>
    <row r="143" spans="1:19" x14ac:dyDescent="0.25">
      <c r="A143" s="3" t="s">
        <v>326</v>
      </c>
      <c r="B143" s="3" t="s">
        <v>327</v>
      </c>
      <c r="C143" s="3" t="s">
        <v>70</v>
      </c>
      <c r="D143" s="3" t="s">
        <v>71</v>
      </c>
      <c r="E143" s="3" t="s">
        <v>33</v>
      </c>
      <c r="F143" s="3" t="s">
        <v>34</v>
      </c>
      <c r="G143" s="3" t="s">
        <v>43</v>
      </c>
      <c r="H143" s="3" t="s">
        <v>44</v>
      </c>
      <c r="I143" s="3">
        <v>11</v>
      </c>
      <c r="J143" s="3">
        <v>7.2</v>
      </c>
      <c r="K143" s="3" t="s">
        <v>24</v>
      </c>
      <c r="L143" s="3">
        <v>5</v>
      </c>
      <c r="M143" s="3" t="s">
        <v>90</v>
      </c>
      <c r="N143" s="3" t="s">
        <v>26</v>
      </c>
      <c r="O143" s="3">
        <v>0</v>
      </c>
      <c r="P143" s="3" t="s">
        <v>52</v>
      </c>
      <c r="Q143" s="3" t="s">
        <v>73</v>
      </c>
      <c r="R143" s="8"/>
      <c r="S143">
        <f t="shared" si="2"/>
        <v>5</v>
      </c>
    </row>
    <row r="144" spans="1:19" x14ac:dyDescent="0.25">
      <c r="A144" s="2" t="s">
        <v>328</v>
      </c>
      <c r="B144" s="2" t="s">
        <v>329</v>
      </c>
      <c r="C144" s="2" t="s">
        <v>31</v>
      </c>
      <c r="D144" s="2" t="s">
        <v>32</v>
      </c>
      <c r="E144" s="2" t="s">
        <v>33</v>
      </c>
      <c r="F144" s="2" t="s">
        <v>34</v>
      </c>
      <c r="G144" s="2" t="s">
        <v>22</v>
      </c>
      <c r="H144" s="2" t="s">
        <v>72</v>
      </c>
      <c r="I144" s="2">
        <v>12</v>
      </c>
      <c r="J144" s="2">
        <v>3.5</v>
      </c>
      <c r="K144" s="2" t="s">
        <v>26</v>
      </c>
      <c r="L144" s="2">
        <v>5</v>
      </c>
      <c r="M144" s="2" t="s">
        <v>90</v>
      </c>
      <c r="N144" s="2" t="s">
        <v>24</v>
      </c>
      <c r="O144" s="2">
        <v>1</v>
      </c>
      <c r="P144" s="2" t="s">
        <v>66</v>
      </c>
      <c r="Q144" s="2" t="s">
        <v>36</v>
      </c>
      <c r="R144" s="7"/>
      <c r="S144">
        <f t="shared" si="2"/>
        <v>5</v>
      </c>
    </row>
    <row r="145" spans="1:19" x14ac:dyDescent="0.25">
      <c r="A145" s="3" t="s">
        <v>330</v>
      </c>
      <c r="B145" s="3" t="s">
        <v>331</v>
      </c>
      <c r="C145" s="3" t="s">
        <v>56</v>
      </c>
      <c r="D145" s="3" t="s">
        <v>57</v>
      </c>
      <c r="E145" s="3" t="s">
        <v>41</v>
      </c>
      <c r="F145" s="3" t="s">
        <v>42</v>
      </c>
      <c r="G145" s="3" t="s">
        <v>41</v>
      </c>
      <c r="H145" s="3" t="s">
        <v>44</v>
      </c>
      <c r="I145" s="3">
        <v>11.3</v>
      </c>
      <c r="J145" s="3">
        <v>3.8</v>
      </c>
      <c r="K145" s="3" t="s">
        <v>24</v>
      </c>
      <c r="L145" s="3">
        <v>4</v>
      </c>
      <c r="M145" s="3" t="s">
        <v>81</v>
      </c>
      <c r="N145" s="3" t="s">
        <v>26</v>
      </c>
      <c r="O145" s="3">
        <v>1</v>
      </c>
      <c r="P145" s="3" t="s">
        <v>27</v>
      </c>
      <c r="Q145" s="3" t="s">
        <v>60</v>
      </c>
      <c r="R145" s="8"/>
      <c r="S145">
        <f t="shared" si="2"/>
        <v>4</v>
      </c>
    </row>
    <row r="146" spans="1:19" x14ac:dyDescent="0.25">
      <c r="A146" s="2" t="s">
        <v>332</v>
      </c>
      <c r="B146" s="2" t="s">
        <v>181</v>
      </c>
      <c r="C146" s="2" t="s">
        <v>56</v>
      </c>
      <c r="D146" s="2" t="s">
        <v>57</v>
      </c>
      <c r="E146" s="2" t="s">
        <v>41</v>
      </c>
      <c r="F146" s="2" t="s">
        <v>42</v>
      </c>
      <c r="G146" s="2" t="s">
        <v>43</v>
      </c>
      <c r="H146" s="2" t="s">
        <v>58</v>
      </c>
      <c r="I146" s="2">
        <v>9.5</v>
      </c>
      <c r="J146" s="2">
        <v>5.2</v>
      </c>
      <c r="K146" s="2" t="s">
        <v>24</v>
      </c>
      <c r="L146" s="2">
        <v>5</v>
      </c>
      <c r="M146" s="2" t="s">
        <v>90</v>
      </c>
      <c r="N146" s="2" t="s">
        <v>26</v>
      </c>
      <c r="O146" s="2">
        <v>1</v>
      </c>
      <c r="P146" s="2" t="s">
        <v>27</v>
      </c>
      <c r="Q146" s="2" t="s">
        <v>60</v>
      </c>
      <c r="R146" s="7"/>
      <c r="S146">
        <f t="shared" si="2"/>
        <v>5</v>
      </c>
    </row>
    <row r="147" spans="1:19" x14ac:dyDescent="0.25">
      <c r="A147" s="3" t="s">
        <v>333</v>
      </c>
      <c r="B147" s="3" t="s">
        <v>334</v>
      </c>
      <c r="C147" s="3" t="s">
        <v>70</v>
      </c>
      <c r="D147" s="3" t="s">
        <v>71</v>
      </c>
      <c r="E147" s="3" t="s">
        <v>33</v>
      </c>
      <c r="F147" s="3" t="s">
        <v>34</v>
      </c>
      <c r="G147" s="3" t="s">
        <v>43</v>
      </c>
      <c r="H147" s="3" t="s">
        <v>23</v>
      </c>
      <c r="I147" s="3">
        <v>7.1</v>
      </c>
      <c r="J147" s="3">
        <v>8.3000000000000007</v>
      </c>
      <c r="K147" s="3" t="s">
        <v>26</v>
      </c>
      <c r="L147" s="3">
        <v>3</v>
      </c>
      <c r="M147" s="3" t="s">
        <v>59</v>
      </c>
      <c r="N147" s="3" t="s">
        <v>24</v>
      </c>
      <c r="O147" s="3">
        <v>1</v>
      </c>
      <c r="P147" s="3" t="s">
        <v>52</v>
      </c>
      <c r="Q147" s="3" t="s">
        <v>73</v>
      </c>
      <c r="R147" s="8"/>
      <c r="S147">
        <f t="shared" si="2"/>
        <v>3</v>
      </c>
    </row>
    <row r="148" spans="1:19" x14ac:dyDescent="0.25">
      <c r="A148" s="2" t="s">
        <v>335</v>
      </c>
      <c r="B148" s="2" t="s">
        <v>336</v>
      </c>
      <c r="C148" s="2" t="s">
        <v>39</v>
      </c>
      <c r="D148" s="2" t="s">
        <v>40</v>
      </c>
      <c r="E148" s="2" t="s">
        <v>41</v>
      </c>
      <c r="F148" s="2" t="s">
        <v>42</v>
      </c>
      <c r="G148" s="2" t="s">
        <v>43</v>
      </c>
      <c r="H148" s="2" t="s">
        <v>80</v>
      </c>
      <c r="I148" s="2">
        <v>5.8</v>
      </c>
      <c r="J148" s="2">
        <v>4</v>
      </c>
      <c r="K148" s="2" t="s">
        <v>24</v>
      </c>
      <c r="L148" s="2">
        <v>5</v>
      </c>
      <c r="M148" s="2" t="s">
        <v>25</v>
      </c>
      <c r="N148" s="2" t="s">
        <v>26</v>
      </c>
      <c r="O148" s="2">
        <v>1</v>
      </c>
      <c r="P148" s="2" t="s">
        <v>13</v>
      </c>
      <c r="Q148" s="2" t="s">
        <v>46</v>
      </c>
      <c r="R148" s="7"/>
      <c r="S148">
        <f t="shared" si="2"/>
        <v>5</v>
      </c>
    </row>
    <row r="149" spans="1:19" x14ac:dyDescent="0.25">
      <c r="A149" s="3" t="s">
        <v>337</v>
      </c>
      <c r="B149" s="3" t="s">
        <v>338</v>
      </c>
      <c r="C149" s="3" t="s">
        <v>49</v>
      </c>
      <c r="D149" s="3" t="s">
        <v>50</v>
      </c>
      <c r="E149" s="3" t="s">
        <v>41</v>
      </c>
      <c r="F149" s="3" t="s">
        <v>42</v>
      </c>
      <c r="G149" s="3" t="s">
        <v>22</v>
      </c>
      <c r="H149" s="3" t="s">
        <v>95</v>
      </c>
      <c r="I149" s="3">
        <v>8.4</v>
      </c>
      <c r="J149" s="3">
        <v>2.9</v>
      </c>
      <c r="K149" s="3" t="s">
        <v>24</v>
      </c>
      <c r="L149" s="3">
        <v>4</v>
      </c>
      <c r="M149" s="3" t="s">
        <v>51</v>
      </c>
      <c r="N149" s="3" t="s">
        <v>26</v>
      </c>
      <c r="O149" s="3">
        <v>1</v>
      </c>
      <c r="P149" s="3" t="s">
        <v>13</v>
      </c>
      <c r="Q149" s="3" t="s">
        <v>53</v>
      </c>
      <c r="R149" s="8"/>
      <c r="S149">
        <f t="shared" si="2"/>
        <v>4</v>
      </c>
    </row>
    <row r="150" spans="1:19" x14ac:dyDescent="0.25">
      <c r="A150" s="2" t="s">
        <v>339</v>
      </c>
      <c r="B150" s="2" t="s">
        <v>340</v>
      </c>
      <c r="C150" s="2" t="s">
        <v>18</v>
      </c>
      <c r="D150" s="2" t="s">
        <v>122</v>
      </c>
      <c r="E150" s="2" t="s">
        <v>20</v>
      </c>
      <c r="F150" s="2" t="s">
        <v>21</v>
      </c>
      <c r="G150" s="2" t="s">
        <v>43</v>
      </c>
      <c r="H150" s="2" t="s">
        <v>58</v>
      </c>
      <c r="I150" s="2">
        <v>10.1</v>
      </c>
      <c r="J150" s="2">
        <v>4.2</v>
      </c>
      <c r="K150" s="2" t="s">
        <v>26</v>
      </c>
      <c r="L150" s="2">
        <v>3</v>
      </c>
      <c r="M150" s="2" t="s">
        <v>25</v>
      </c>
      <c r="N150" s="2" t="s">
        <v>24</v>
      </c>
      <c r="O150" s="2">
        <v>2</v>
      </c>
      <c r="P150" s="2" t="s">
        <v>13</v>
      </c>
      <c r="Q150" s="2" t="s">
        <v>28</v>
      </c>
      <c r="R150" s="7"/>
      <c r="S150">
        <f t="shared" si="2"/>
        <v>3</v>
      </c>
    </row>
    <row r="151" spans="1:19" x14ac:dyDescent="0.25">
      <c r="A151" s="3" t="s">
        <v>341</v>
      </c>
      <c r="B151" s="3" t="s">
        <v>342</v>
      </c>
      <c r="C151" s="3" t="s">
        <v>39</v>
      </c>
      <c r="D151" s="3" t="s">
        <v>40</v>
      </c>
      <c r="E151" s="3" t="s">
        <v>41</v>
      </c>
      <c r="F151" s="3" t="s">
        <v>42</v>
      </c>
      <c r="G151" s="3" t="s">
        <v>41</v>
      </c>
      <c r="H151" s="3" t="s">
        <v>23</v>
      </c>
      <c r="I151" s="3">
        <v>5.3</v>
      </c>
      <c r="J151" s="3">
        <v>1.9</v>
      </c>
      <c r="K151" s="3" t="s">
        <v>26</v>
      </c>
      <c r="L151" s="3">
        <v>2</v>
      </c>
      <c r="M151" s="3" t="s">
        <v>51</v>
      </c>
      <c r="N151" s="3" t="s">
        <v>26</v>
      </c>
      <c r="O151" s="3">
        <v>1</v>
      </c>
      <c r="P151" s="3" t="s">
        <v>27</v>
      </c>
      <c r="Q151" s="3" t="s">
        <v>46</v>
      </c>
      <c r="R151" s="8"/>
      <c r="S151">
        <f t="shared" si="2"/>
        <v>2</v>
      </c>
    </row>
    <row r="152" spans="1:19" x14ac:dyDescent="0.25">
      <c r="A152" s="2" t="s">
        <v>343</v>
      </c>
      <c r="B152" s="2"/>
      <c r="C152" s="2" t="s">
        <v>31</v>
      </c>
      <c r="D152" s="2" t="s">
        <v>344</v>
      </c>
      <c r="E152" s="2" t="s">
        <v>33</v>
      </c>
      <c r="F152" s="2" t="s">
        <v>34</v>
      </c>
      <c r="G152" s="2" t="s">
        <v>43</v>
      </c>
      <c r="H152" s="2" t="s">
        <v>80</v>
      </c>
      <c r="I152" s="2">
        <v>7.5</v>
      </c>
      <c r="J152" s="2">
        <v>2.4</v>
      </c>
      <c r="K152" s="2" t="s">
        <v>26</v>
      </c>
      <c r="L152" s="2">
        <v>1</v>
      </c>
      <c r="M152" s="2" t="s">
        <v>25</v>
      </c>
      <c r="N152" s="2" t="s">
        <v>24</v>
      </c>
      <c r="O152" s="2">
        <v>3</v>
      </c>
      <c r="P152" s="2" t="s">
        <v>13</v>
      </c>
      <c r="Q152" s="2" t="s">
        <v>36</v>
      </c>
      <c r="R152" s="7"/>
      <c r="S152">
        <f t="shared" si="2"/>
        <v>1</v>
      </c>
    </row>
    <row r="153" spans="1:19" x14ac:dyDescent="0.25">
      <c r="A153" s="3" t="s">
        <v>345</v>
      </c>
      <c r="B153" s="3" t="s">
        <v>346</v>
      </c>
      <c r="C153" s="3" t="s">
        <v>85</v>
      </c>
      <c r="D153" s="3" t="s">
        <v>86</v>
      </c>
      <c r="E153" s="3" t="s">
        <v>20</v>
      </c>
      <c r="F153" s="3" t="s">
        <v>21</v>
      </c>
      <c r="G153" s="3" t="s">
        <v>43</v>
      </c>
      <c r="H153" s="3" t="s">
        <v>44</v>
      </c>
      <c r="I153" s="3">
        <v>1</v>
      </c>
      <c r="J153" s="3">
        <v>3.7</v>
      </c>
      <c r="K153" s="3" t="s">
        <v>24</v>
      </c>
      <c r="L153" s="3">
        <v>4</v>
      </c>
      <c r="M153" s="3" t="s">
        <v>90</v>
      </c>
      <c r="N153" s="3" t="s">
        <v>26</v>
      </c>
      <c r="O153" s="3">
        <v>1</v>
      </c>
      <c r="P153" s="3" t="s">
        <v>52</v>
      </c>
      <c r="Q153" s="3" t="s">
        <v>87</v>
      </c>
      <c r="R153" s="8"/>
      <c r="S153">
        <f t="shared" si="2"/>
        <v>4</v>
      </c>
    </row>
    <row r="154" spans="1:19" x14ac:dyDescent="0.25">
      <c r="A154" s="2" t="s">
        <v>347</v>
      </c>
      <c r="B154" s="2" t="s">
        <v>348</v>
      </c>
      <c r="C154" s="2" t="s">
        <v>105</v>
      </c>
      <c r="D154" s="2" t="s">
        <v>106</v>
      </c>
      <c r="E154" s="2" t="s">
        <v>20</v>
      </c>
      <c r="F154" s="2" t="s">
        <v>21</v>
      </c>
      <c r="G154" s="2" t="s">
        <v>43</v>
      </c>
      <c r="H154" s="2" t="s">
        <v>80</v>
      </c>
      <c r="I154" s="2">
        <v>7.3</v>
      </c>
      <c r="J154" s="2">
        <v>4.5999999999999996</v>
      </c>
      <c r="K154" s="2" t="s">
        <v>24</v>
      </c>
      <c r="L154" s="2">
        <v>3</v>
      </c>
      <c r="M154" s="2" t="s">
        <v>51</v>
      </c>
      <c r="N154" s="2" t="s">
        <v>26</v>
      </c>
      <c r="O154" s="2">
        <v>1</v>
      </c>
      <c r="P154" s="2" t="s">
        <v>13</v>
      </c>
      <c r="Q154" s="2" t="s">
        <v>107</v>
      </c>
      <c r="R154" s="7"/>
      <c r="S154">
        <f t="shared" si="2"/>
        <v>3</v>
      </c>
    </row>
    <row r="155" spans="1:19" x14ac:dyDescent="0.25">
      <c r="A155" s="3" t="s">
        <v>349</v>
      </c>
      <c r="B155" s="3" t="s">
        <v>287</v>
      </c>
      <c r="C155" s="3" t="s">
        <v>70</v>
      </c>
      <c r="D155" s="3" t="s">
        <v>71</v>
      </c>
      <c r="E155" s="3" t="s">
        <v>33</v>
      </c>
      <c r="F155" s="3" t="s">
        <v>34</v>
      </c>
      <c r="G155" s="3" t="s">
        <v>43</v>
      </c>
      <c r="H155" s="3" t="s">
        <v>58</v>
      </c>
      <c r="I155" s="3">
        <v>10.199999999999999</v>
      </c>
      <c r="J155" s="3">
        <v>1.3</v>
      </c>
      <c r="K155" s="3" t="s">
        <v>24</v>
      </c>
      <c r="L155" s="3">
        <v>5</v>
      </c>
      <c r="M155" s="3" t="s">
        <v>59</v>
      </c>
      <c r="N155" s="3" t="s">
        <v>26</v>
      </c>
      <c r="O155" s="3">
        <v>1</v>
      </c>
      <c r="P155" s="3" t="s">
        <v>13</v>
      </c>
      <c r="Q155" s="3" t="s">
        <v>73</v>
      </c>
      <c r="R155" s="8"/>
      <c r="S155">
        <f t="shared" si="2"/>
        <v>5</v>
      </c>
    </row>
    <row r="156" spans="1:19" x14ac:dyDescent="0.25">
      <c r="A156" s="2" t="s">
        <v>350</v>
      </c>
      <c r="B156" s="2" t="s">
        <v>351</v>
      </c>
      <c r="C156" s="2" t="s">
        <v>78</v>
      </c>
      <c r="D156" s="2" t="s">
        <v>79</v>
      </c>
      <c r="E156" s="2" t="s">
        <v>20</v>
      </c>
      <c r="F156" s="2" t="s">
        <v>21</v>
      </c>
      <c r="G156" s="2" t="s">
        <v>41</v>
      </c>
      <c r="H156" s="2" t="s">
        <v>44</v>
      </c>
      <c r="I156" s="2">
        <v>9.6</v>
      </c>
      <c r="J156" s="2">
        <v>7.4</v>
      </c>
      <c r="K156" s="2" t="s">
        <v>24</v>
      </c>
      <c r="L156" s="2">
        <v>5</v>
      </c>
      <c r="M156" s="2" t="s">
        <v>51</v>
      </c>
      <c r="N156" s="2" t="s">
        <v>26</v>
      </c>
      <c r="O156" s="2">
        <v>1</v>
      </c>
      <c r="P156" s="2" t="s">
        <v>66</v>
      </c>
      <c r="Q156" s="2" t="s">
        <v>82</v>
      </c>
      <c r="R156" s="7"/>
      <c r="S156">
        <f t="shared" si="2"/>
        <v>5</v>
      </c>
    </row>
    <row r="157" spans="1:19" x14ac:dyDescent="0.25">
      <c r="A157" s="3" t="s">
        <v>352</v>
      </c>
      <c r="B157" s="3" t="s">
        <v>109</v>
      </c>
      <c r="C157" s="3" t="s">
        <v>78</v>
      </c>
      <c r="D157" s="3" t="s">
        <v>79</v>
      </c>
      <c r="E157" s="3" t="s">
        <v>20</v>
      </c>
      <c r="F157" s="3" t="s">
        <v>21</v>
      </c>
      <c r="G157" s="3" t="s">
        <v>43</v>
      </c>
      <c r="H157" s="3" t="s">
        <v>80</v>
      </c>
      <c r="I157" s="3">
        <v>12.2</v>
      </c>
      <c r="J157" s="3">
        <v>4.7</v>
      </c>
      <c r="K157" s="3" t="s">
        <v>24</v>
      </c>
      <c r="L157" s="3">
        <v>4</v>
      </c>
      <c r="M157" s="3" t="s">
        <v>59</v>
      </c>
      <c r="N157" s="3" t="s">
        <v>26</v>
      </c>
      <c r="O157" s="3">
        <v>1</v>
      </c>
      <c r="P157" s="3" t="s">
        <v>66</v>
      </c>
      <c r="Q157" s="3" t="s">
        <v>82</v>
      </c>
      <c r="R157" s="8"/>
      <c r="S157">
        <f t="shared" si="2"/>
        <v>4</v>
      </c>
    </row>
    <row r="158" spans="1:19" x14ac:dyDescent="0.25">
      <c r="A158" s="2" t="s">
        <v>353</v>
      </c>
      <c r="B158" s="2" t="s">
        <v>145</v>
      </c>
      <c r="C158" s="2" t="s">
        <v>63</v>
      </c>
      <c r="D158" s="2" t="s">
        <v>64</v>
      </c>
      <c r="E158" s="2" t="s">
        <v>33</v>
      </c>
      <c r="F158" s="2" t="s">
        <v>34</v>
      </c>
      <c r="G158" s="2" t="s">
        <v>43</v>
      </c>
      <c r="H158" s="2" t="s">
        <v>35</v>
      </c>
      <c r="I158" s="2">
        <v>10.3</v>
      </c>
      <c r="J158" s="2">
        <v>2.8</v>
      </c>
      <c r="K158" s="2" t="s">
        <v>24</v>
      </c>
      <c r="L158" s="2">
        <v>5</v>
      </c>
      <c r="M158" s="2" t="s">
        <v>25</v>
      </c>
      <c r="N158" s="2" t="s">
        <v>26</v>
      </c>
      <c r="O158" s="2">
        <v>1</v>
      </c>
      <c r="P158" s="2" t="s">
        <v>52</v>
      </c>
      <c r="Q158" s="2" t="s">
        <v>67</v>
      </c>
      <c r="R158" s="7"/>
      <c r="S158">
        <f t="shared" si="2"/>
        <v>5</v>
      </c>
    </row>
    <row r="159" spans="1:19" x14ac:dyDescent="0.25">
      <c r="A159" s="3" t="s">
        <v>354</v>
      </c>
      <c r="B159" s="3" t="s">
        <v>355</v>
      </c>
      <c r="C159" s="3" t="s">
        <v>18</v>
      </c>
      <c r="D159" s="3" t="s">
        <v>122</v>
      </c>
      <c r="E159" s="3" t="s">
        <v>20</v>
      </c>
      <c r="F159" s="3" t="s">
        <v>21</v>
      </c>
      <c r="G159" s="3" t="s">
        <v>43</v>
      </c>
      <c r="H159" s="3" t="s">
        <v>35</v>
      </c>
      <c r="I159" s="3">
        <v>1</v>
      </c>
      <c r="J159" s="3">
        <v>6.8</v>
      </c>
      <c r="K159" s="3" t="s">
        <v>26</v>
      </c>
      <c r="L159" s="3">
        <v>3</v>
      </c>
      <c r="M159" s="3" t="s">
        <v>59</v>
      </c>
      <c r="N159" s="3" t="s">
        <v>24</v>
      </c>
      <c r="O159" s="3">
        <v>0</v>
      </c>
      <c r="P159" s="3" t="s">
        <v>66</v>
      </c>
      <c r="Q159" s="3" t="s">
        <v>28</v>
      </c>
      <c r="R159" s="8"/>
      <c r="S159">
        <f t="shared" si="2"/>
        <v>3</v>
      </c>
    </row>
    <row r="160" spans="1:19" x14ac:dyDescent="0.25">
      <c r="A160" s="2" t="s">
        <v>356</v>
      </c>
      <c r="B160" s="2" t="s">
        <v>357</v>
      </c>
      <c r="C160" s="2" t="s">
        <v>39</v>
      </c>
      <c r="D160" s="2" t="s">
        <v>40</v>
      </c>
      <c r="E160" s="2" t="s">
        <v>41</v>
      </c>
      <c r="F160" s="2" t="s">
        <v>42</v>
      </c>
      <c r="G160" s="2" t="s">
        <v>22</v>
      </c>
      <c r="H160" s="2" t="s">
        <v>35</v>
      </c>
      <c r="I160" s="2">
        <v>9.6</v>
      </c>
      <c r="J160" s="2">
        <v>5.9</v>
      </c>
      <c r="K160" s="2" t="s">
        <v>24</v>
      </c>
      <c r="L160" s="2">
        <v>4</v>
      </c>
      <c r="M160" s="2" t="s">
        <v>25</v>
      </c>
      <c r="N160" s="2" t="s">
        <v>26</v>
      </c>
      <c r="O160" s="2">
        <v>1</v>
      </c>
      <c r="P160" s="2" t="s">
        <v>27</v>
      </c>
      <c r="Q160" s="2" t="s">
        <v>46</v>
      </c>
      <c r="R160" s="7"/>
      <c r="S160">
        <f t="shared" si="2"/>
        <v>4</v>
      </c>
    </row>
    <row r="161" spans="1:19" x14ac:dyDescent="0.25">
      <c r="A161" s="3" t="s">
        <v>358</v>
      </c>
      <c r="B161" s="3" t="s">
        <v>359</v>
      </c>
      <c r="C161" s="3" t="s">
        <v>39</v>
      </c>
      <c r="D161" s="3" t="s">
        <v>40</v>
      </c>
      <c r="E161" s="3" t="s">
        <v>41</v>
      </c>
      <c r="F161" s="3" t="s">
        <v>42</v>
      </c>
      <c r="G161" s="3" t="s">
        <v>41</v>
      </c>
      <c r="H161" s="3" t="s">
        <v>95</v>
      </c>
      <c r="I161" s="3">
        <v>4.5</v>
      </c>
      <c r="J161" s="3">
        <v>6.7</v>
      </c>
      <c r="K161" s="3" t="s">
        <v>24</v>
      </c>
      <c r="L161" s="3">
        <v>5</v>
      </c>
      <c r="M161" s="3" t="s">
        <v>25</v>
      </c>
      <c r="N161" s="3" t="s">
        <v>26</v>
      </c>
      <c r="O161" s="3">
        <v>0</v>
      </c>
      <c r="P161" s="3" t="s">
        <v>13</v>
      </c>
      <c r="Q161" s="3" t="s">
        <v>46</v>
      </c>
      <c r="R161" s="8"/>
      <c r="S161">
        <f t="shared" si="2"/>
        <v>5</v>
      </c>
    </row>
    <row r="162" spans="1:19" x14ac:dyDescent="0.25">
      <c r="A162" s="2" t="s">
        <v>360</v>
      </c>
      <c r="B162" s="2" t="s">
        <v>240</v>
      </c>
      <c r="C162" s="2" t="s">
        <v>18</v>
      </c>
      <c r="D162" s="2" t="s">
        <v>122</v>
      </c>
      <c r="E162" s="2" t="s">
        <v>20</v>
      </c>
      <c r="F162" s="2" t="s">
        <v>21</v>
      </c>
      <c r="G162" s="2" t="s">
        <v>43</v>
      </c>
      <c r="H162" s="2" t="s">
        <v>95</v>
      </c>
      <c r="I162" s="2">
        <v>8.4</v>
      </c>
      <c r="J162" s="2">
        <v>6.9</v>
      </c>
      <c r="K162" s="2" t="s">
        <v>24</v>
      </c>
      <c r="L162" s="2"/>
      <c r="M162" s="2" t="s">
        <v>90</v>
      </c>
      <c r="N162" s="2" t="s">
        <v>26</v>
      </c>
      <c r="O162" s="2">
        <v>0</v>
      </c>
      <c r="P162" s="2" t="s">
        <v>27</v>
      </c>
      <c r="Q162" s="2" t="s">
        <v>28</v>
      </c>
      <c r="R162" s="7"/>
      <c r="S162">
        <f t="shared" si="2"/>
        <v>0</v>
      </c>
    </row>
    <row r="163" spans="1:19" x14ac:dyDescent="0.25">
      <c r="A163" s="3" t="s">
        <v>361</v>
      </c>
      <c r="B163" s="3" t="s">
        <v>362</v>
      </c>
      <c r="C163" s="3" t="s">
        <v>63</v>
      </c>
      <c r="D163" s="3" t="s">
        <v>64</v>
      </c>
      <c r="E163" s="3" t="s">
        <v>33</v>
      </c>
      <c r="F163" s="3" t="s">
        <v>34</v>
      </c>
      <c r="G163" s="3" t="s">
        <v>43</v>
      </c>
      <c r="H163" s="3" t="s">
        <v>72</v>
      </c>
      <c r="I163" s="3">
        <v>8.3000000000000007</v>
      </c>
      <c r="J163" s="3">
        <v>1.4</v>
      </c>
      <c r="K163" s="3" t="s">
        <v>24</v>
      </c>
      <c r="L163" s="3">
        <v>4</v>
      </c>
      <c r="M163" s="3" t="s">
        <v>25</v>
      </c>
      <c r="N163" s="3" t="s">
        <v>26</v>
      </c>
      <c r="O163" s="3">
        <v>1</v>
      </c>
      <c r="P163" s="3" t="s">
        <v>66</v>
      </c>
      <c r="Q163" s="3" t="s">
        <v>67</v>
      </c>
      <c r="R163" s="8"/>
      <c r="S163">
        <f t="shared" si="2"/>
        <v>4</v>
      </c>
    </row>
    <row r="164" spans="1:19" x14ac:dyDescent="0.25">
      <c r="A164" s="2" t="s">
        <v>363</v>
      </c>
      <c r="B164" s="2" t="s">
        <v>364</v>
      </c>
      <c r="C164" s="2" t="s">
        <v>70</v>
      </c>
      <c r="D164" s="2" t="s">
        <v>71</v>
      </c>
      <c r="E164" s="2" t="s">
        <v>33</v>
      </c>
      <c r="F164" s="2" t="s">
        <v>34</v>
      </c>
      <c r="G164" s="2" t="s">
        <v>22</v>
      </c>
      <c r="H164" s="2" t="s">
        <v>72</v>
      </c>
      <c r="I164" s="2">
        <v>5</v>
      </c>
      <c r="J164" s="2">
        <v>4</v>
      </c>
      <c r="K164" s="2" t="s">
        <v>24</v>
      </c>
      <c r="L164" s="2">
        <v>4</v>
      </c>
      <c r="M164" s="2" t="s">
        <v>51</v>
      </c>
      <c r="N164" s="2" t="s">
        <v>26</v>
      </c>
      <c r="O164" s="2">
        <v>1</v>
      </c>
      <c r="P164" s="2" t="s">
        <v>66</v>
      </c>
      <c r="Q164" s="2" t="s">
        <v>73</v>
      </c>
      <c r="R164" s="7"/>
      <c r="S164">
        <f t="shared" si="2"/>
        <v>4</v>
      </c>
    </row>
    <row r="165" spans="1:19" x14ac:dyDescent="0.25">
      <c r="A165" s="3" t="s">
        <v>365</v>
      </c>
      <c r="B165" s="3" t="s">
        <v>366</v>
      </c>
      <c r="C165" s="3" t="s">
        <v>63</v>
      </c>
      <c r="D165" s="3" t="s">
        <v>64</v>
      </c>
      <c r="E165" s="3" t="s">
        <v>33</v>
      </c>
      <c r="F165" s="3" t="s">
        <v>34</v>
      </c>
      <c r="G165" s="3" t="s">
        <v>43</v>
      </c>
      <c r="H165" s="3" t="s">
        <v>80</v>
      </c>
      <c r="I165" s="3">
        <v>8.5</v>
      </c>
      <c r="J165" s="3">
        <v>5</v>
      </c>
      <c r="K165" s="3" t="s">
        <v>26</v>
      </c>
      <c r="L165" s="3">
        <v>2</v>
      </c>
      <c r="M165" s="3" t="s">
        <v>25</v>
      </c>
      <c r="N165" s="3" t="s">
        <v>24</v>
      </c>
      <c r="O165" s="3">
        <v>3</v>
      </c>
      <c r="P165" s="3" t="s">
        <v>45</v>
      </c>
      <c r="Q165" s="3" t="s">
        <v>67</v>
      </c>
      <c r="R165" s="8"/>
      <c r="S165">
        <f t="shared" si="2"/>
        <v>2</v>
      </c>
    </row>
    <row r="166" spans="1:19" x14ac:dyDescent="0.25">
      <c r="A166" s="2" t="s">
        <v>367</v>
      </c>
      <c r="B166" s="2" t="s">
        <v>199</v>
      </c>
      <c r="C166" s="2" t="s">
        <v>85</v>
      </c>
      <c r="D166" s="2" t="s">
        <v>86</v>
      </c>
      <c r="E166" s="2" t="s">
        <v>20</v>
      </c>
      <c r="F166" s="2" t="s">
        <v>21</v>
      </c>
      <c r="G166" s="2" t="s">
        <v>43</v>
      </c>
      <c r="H166" s="2" t="s">
        <v>58</v>
      </c>
      <c r="I166" s="2">
        <v>7.4</v>
      </c>
      <c r="J166" s="2">
        <v>5.6</v>
      </c>
      <c r="K166" s="2" t="s">
        <v>24</v>
      </c>
      <c r="L166" s="2">
        <v>3</v>
      </c>
      <c r="M166" s="2" t="s">
        <v>81</v>
      </c>
      <c r="N166" s="2" t="s">
        <v>26</v>
      </c>
      <c r="O166" s="2">
        <v>1</v>
      </c>
      <c r="P166" s="2" t="s">
        <v>27</v>
      </c>
      <c r="Q166" s="2" t="s">
        <v>87</v>
      </c>
      <c r="R166" s="7"/>
      <c r="S166">
        <f t="shared" si="2"/>
        <v>3</v>
      </c>
    </row>
    <row r="167" spans="1:19" x14ac:dyDescent="0.25">
      <c r="A167" s="3" t="s">
        <v>368</v>
      </c>
      <c r="B167" s="3" t="s">
        <v>369</v>
      </c>
      <c r="C167" s="3" t="s">
        <v>31</v>
      </c>
      <c r="D167" s="3" t="s">
        <v>32</v>
      </c>
      <c r="E167" s="3" t="s">
        <v>33</v>
      </c>
      <c r="F167" s="3" t="s">
        <v>34</v>
      </c>
      <c r="G167" s="3" t="s">
        <v>41</v>
      </c>
      <c r="H167" s="3" t="s">
        <v>65</v>
      </c>
      <c r="I167" s="3">
        <v>8.1999999999999993</v>
      </c>
      <c r="J167" s="3">
        <v>3.6</v>
      </c>
      <c r="K167" s="3" t="s">
        <v>24</v>
      </c>
      <c r="L167" s="3">
        <v>4</v>
      </c>
      <c r="M167" s="3" t="s">
        <v>51</v>
      </c>
      <c r="N167" s="3" t="s">
        <v>26</v>
      </c>
      <c r="O167" s="3">
        <v>1</v>
      </c>
      <c r="P167" s="3" t="s">
        <v>52</v>
      </c>
      <c r="Q167" s="3" t="s">
        <v>36</v>
      </c>
      <c r="R167" s="8"/>
      <c r="S167">
        <f t="shared" si="2"/>
        <v>4</v>
      </c>
    </row>
    <row r="168" spans="1:19" x14ac:dyDescent="0.25">
      <c r="A168" s="2" t="s">
        <v>370</v>
      </c>
      <c r="B168" s="2" t="s">
        <v>371</v>
      </c>
      <c r="C168" s="2" t="s">
        <v>18</v>
      </c>
      <c r="D168" s="2" t="s">
        <v>122</v>
      </c>
      <c r="E168" s="2" t="s">
        <v>20</v>
      </c>
      <c r="F168" s="2" t="s">
        <v>21</v>
      </c>
      <c r="G168" s="2" t="s">
        <v>41</v>
      </c>
      <c r="H168" s="2" t="s">
        <v>58</v>
      </c>
      <c r="I168" s="2">
        <v>3.7</v>
      </c>
      <c r="J168" s="2">
        <v>11.4</v>
      </c>
      <c r="K168" s="2" t="s">
        <v>24</v>
      </c>
      <c r="L168" s="2">
        <v>5</v>
      </c>
      <c r="M168" s="2" t="s">
        <v>81</v>
      </c>
      <c r="N168" s="2" t="s">
        <v>26</v>
      </c>
      <c r="O168" s="2">
        <v>1</v>
      </c>
      <c r="P168" s="2" t="s">
        <v>52</v>
      </c>
      <c r="Q168" s="2" t="s">
        <v>28</v>
      </c>
      <c r="R168" s="7"/>
      <c r="S168">
        <f t="shared" si="2"/>
        <v>5</v>
      </c>
    </row>
    <row r="169" spans="1:19" x14ac:dyDescent="0.25">
      <c r="A169" s="3" t="s">
        <v>372</v>
      </c>
      <c r="B169" s="3" t="s">
        <v>373</v>
      </c>
      <c r="C169" s="3" t="s">
        <v>18</v>
      </c>
      <c r="D169" s="3" t="s">
        <v>122</v>
      </c>
      <c r="E169" s="3" t="s">
        <v>20</v>
      </c>
      <c r="F169" s="3" t="s">
        <v>21</v>
      </c>
      <c r="G169" s="3" t="s">
        <v>22</v>
      </c>
      <c r="H169" s="3" t="s">
        <v>23</v>
      </c>
      <c r="I169" s="3">
        <v>3.7</v>
      </c>
      <c r="J169" s="3">
        <v>4.9000000000000004</v>
      </c>
      <c r="K169" s="3" t="s">
        <v>24</v>
      </c>
      <c r="L169" s="3">
        <v>4</v>
      </c>
      <c r="M169" s="3" t="s">
        <v>25</v>
      </c>
      <c r="N169" s="3" t="s">
        <v>26</v>
      </c>
      <c r="O169" s="3">
        <v>0</v>
      </c>
      <c r="P169" s="3" t="s">
        <v>13</v>
      </c>
      <c r="Q169" s="3" t="s">
        <v>28</v>
      </c>
      <c r="R169" s="8"/>
      <c r="S169">
        <f t="shared" si="2"/>
        <v>4</v>
      </c>
    </row>
    <row r="170" spans="1:19" x14ac:dyDescent="0.25">
      <c r="A170" s="2" t="s">
        <v>374</v>
      </c>
      <c r="B170" s="2" t="s">
        <v>375</v>
      </c>
      <c r="C170" s="2" t="s">
        <v>70</v>
      </c>
      <c r="D170" s="2" t="s">
        <v>71</v>
      </c>
      <c r="E170" s="2" t="s">
        <v>33</v>
      </c>
      <c r="F170" s="2" t="s">
        <v>34</v>
      </c>
      <c r="G170" s="2" t="s">
        <v>41</v>
      </c>
      <c r="H170" s="2" t="s">
        <v>35</v>
      </c>
      <c r="I170" s="2">
        <v>7.4</v>
      </c>
      <c r="J170" s="2">
        <v>5.0999999999999996</v>
      </c>
      <c r="K170" s="2" t="s">
        <v>24</v>
      </c>
      <c r="L170" s="2">
        <v>5</v>
      </c>
      <c r="M170" s="2" t="s">
        <v>25</v>
      </c>
      <c r="N170" s="2" t="s">
        <v>26</v>
      </c>
      <c r="O170" s="2">
        <v>0</v>
      </c>
      <c r="P170" s="2" t="s">
        <v>66</v>
      </c>
      <c r="Q170" s="2" t="s">
        <v>73</v>
      </c>
      <c r="R170" s="7"/>
      <c r="S170">
        <f t="shared" si="2"/>
        <v>5</v>
      </c>
    </row>
    <row r="171" spans="1:19" x14ac:dyDescent="0.25">
      <c r="A171" s="3" t="s">
        <v>376</v>
      </c>
      <c r="B171" s="3" t="s">
        <v>277</v>
      </c>
      <c r="C171" s="3" t="s">
        <v>31</v>
      </c>
      <c r="D171" s="3" t="s">
        <v>32</v>
      </c>
      <c r="E171" s="3" t="s">
        <v>33</v>
      </c>
      <c r="F171" s="3" t="s">
        <v>34</v>
      </c>
      <c r="G171" s="3" t="s">
        <v>43</v>
      </c>
      <c r="H171" s="3" t="s">
        <v>65</v>
      </c>
      <c r="I171" s="3">
        <v>5.5</v>
      </c>
      <c r="J171" s="3">
        <v>2.1</v>
      </c>
      <c r="K171" s="3" t="s">
        <v>26</v>
      </c>
      <c r="L171" s="3">
        <v>2</v>
      </c>
      <c r="M171" s="3" t="s">
        <v>81</v>
      </c>
      <c r="N171" s="3" t="s">
        <v>24</v>
      </c>
      <c r="O171" s="3">
        <v>0</v>
      </c>
      <c r="P171" s="3" t="s">
        <v>27</v>
      </c>
      <c r="Q171" s="3" t="s">
        <v>36</v>
      </c>
      <c r="R171" s="8"/>
      <c r="S171">
        <f t="shared" si="2"/>
        <v>2</v>
      </c>
    </row>
    <row r="172" spans="1:19" x14ac:dyDescent="0.25">
      <c r="A172" s="2" t="s">
        <v>377</v>
      </c>
      <c r="B172" s="2" t="s">
        <v>378</v>
      </c>
      <c r="C172" s="2" t="s">
        <v>56</v>
      </c>
      <c r="D172" s="2" t="s">
        <v>57</v>
      </c>
      <c r="E172" s="2" t="s">
        <v>41</v>
      </c>
      <c r="F172" s="2" t="s">
        <v>42</v>
      </c>
      <c r="G172" s="2" t="s">
        <v>43</v>
      </c>
      <c r="H172" s="2" t="s">
        <v>23</v>
      </c>
      <c r="I172" s="2">
        <v>7.2</v>
      </c>
      <c r="J172" s="2">
        <v>1.3</v>
      </c>
      <c r="K172" s="2" t="s">
        <v>24</v>
      </c>
      <c r="L172" s="2">
        <v>5</v>
      </c>
      <c r="M172" s="2" t="s">
        <v>51</v>
      </c>
      <c r="N172" s="2" t="s">
        <v>26</v>
      </c>
      <c r="O172" s="2">
        <v>0</v>
      </c>
      <c r="P172" s="2" t="s">
        <v>45</v>
      </c>
      <c r="Q172" s="2" t="s">
        <v>60</v>
      </c>
      <c r="R172" s="7"/>
      <c r="S172">
        <f t="shared" si="2"/>
        <v>5</v>
      </c>
    </row>
    <row r="173" spans="1:19" x14ac:dyDescent="0.25">
      <c r="A173" s="3" t="s">
        <v>379</v>
      </c>
      <c r="B173" s="3" t="s">
        <v>117</v>
      </c>
      <c r="C173" s="3" t="s">
        <v>31</v>
      </c>
      <c r="D173" s="3" t="s">
        <v>32</v>
      </c>
      <c r="E173" s="3" t="s">
        <v>33</v>
      </c>
      <c r="F173" s="3" t="s">
        <v>34</v>
      </c>
      <c r="G173" s="3" t="s">
        <v>43</v>
      </c>
      <c r="H173" s="3" t="s">
        <v>35</v>
      </c>
      <c r="I173" s="3">
        <v>8.3000000000000007</v>
      </c>
      <c r="J173" s="3">
        <v>1.9</v>
      </c>
      <c r="K173" s="3" t="s">
        <v>24</v>
      </c>
      <c r="L173" s="3">
        <v>5</v>
      </c>
      <c r="M173" s="3" t="s">
        <v>59</v>
      </c>
      <c r="N173" s="3" t="s">
        <v>26</v>
      </c>
      <c r="O173" s="3">
        <v>1</v>
      </c>
      <c r="P173" s="3" t="s">
        <v>27</v>
      </c>
      <c r="Q173" s="3" t="s">
        <v>36</v>
      </c>
      <c r="R173" s="8"/>
      <c r="S173">
        <f t="shared" si="2"/>
        <v>5</v>
      </c>
    </row>
    <row r="174" spans="1:19" x14ac:dyDescent="0.25">
      <c r="A174" s="2" t="s">
        <v>380</v>
      </c>
      <c r="B174" s="2" t="s">
        <v>69</v>
      </c>
      <c r="C174" s="2" t="s">
        <v>39</v>
      </c>
      <c r="D174" s="2" t="s">
        <v>40</v>
      </c>
      <c r="E174" s="2" t="s">
        <v>41</v>
      </c>
      <c r="F174" s="2" t="s">
        <v>42</v>
      </c>
      <c r="G174" s="2" t="s">
        <v>43</v>
      </c>
      <c r="H174" s="2" t="s">
        <v>80</v>
      </c>
      <c r="I174" s="2">
        <v>7.7</v>
      </c>
      <c r="J174" s="2">
        <v>4.7</v>
      </c>
      <c r="K174" s="2" t="s">
        <v>26</v>
      </c>
      <c r="L174" s="2">
        <v>2</v>
      </c>
      <c r="M174" s="2" t="s">
        <v>51</v>
      </c>
      <c r="N174" s="2" t="s">
        <v>26</v>
      </c>
      <c r="O174" s="2">
        <v>1</v>
      </c>
      <c r="P174" s="2" t="s">
        <v>52</v>
      </c>
      <c r="Q174" s="2" t="s">
        <v>46</v>
      </c>
      <c r="R174" s="7"/>
      <c r="S174">
        <f t="shared" si="2"/>
        <v>2</v>
      </c>
    </row>
    <row r="175" spans="1:19" x14ac:dyDescent="0.25">
      <c r="A175" s="3" t="s">
        <v>381</v>
      </c>
      <c r="B175" s="3" t="s">
        <v>77</v>
      </c>
      <c r="C175" s="3" t="s">
        <v>49</v>
      </c>
      <c r="D175" s="3" t="s">
        <v>50</v>
      </c>
      <c r="E175" s="3" t="s">
        <v>41</v>
      </c>
      <c r="F175" s="3" t="s">
        <v>42</v>
      </c>
      <c r="G175" s="3" t="s">
        <v>43</v>
      </c>
      <c r="H175" s="3" t="s">
        <v>80</v>
      </c>
      <c r="I175" s="3">
        <v>9.6999999999999993</v>
      </c>
      <c r="J175" s="3">
        <v>2.7</v>
      </c>
      <c r="K175" s="3" t="s">
        <v>24</v>
      </c>
      <c r="L175" s="3">
        <v>5</v>
      </c>
      <c r="M175" s="3" t="s">
        <v>51</v>
      </c>
      <c r="N175" s="3" t="s">
        <v>26</v>
      </c>
      <c r="O175" s="3">
        <v>1</v>
      </c>
      <c r="P175" s="3" t="s">
        <v>52</v>
      </c>
      <c r="Q175" s="3" t="s">
        <v>53</v>
      </c>
      <c r="R175" s="8"/>
      <c r="S175">
        <f t="shared" si="2"/>
        <v>5</v>
      </c>
    </row>
    <row r="176" spans="1:19" x14ac:dyDescent="0.25">
      <c r="A176" s="2" t="s">
        <v>382</v>
      </c>
      <c r="B176" s="2" t="s">
        <v>383</v>
      </c>
      <c r="C176" s="2" t="s">
        <v>18</v>
      </c>
      <c r="D176" s="2" t="s">
        <v>122</v>
      </c>
      <c r="E176" s="2" t="s">
        <v>20</v>
      </c>
      <c r="F176" s="2" t="s">
        <v>21</v>
      </c>
      <c r="G176" s="2" t="s">
        <v>43</v>
      </c>
      <c r="H176" s="2" t="s">
        <v>35</v>
      </c>
      <c r="I176" s="2">
        <v>6.6</v>
      </c>
      <c r="J176" s="2">
        <v>6</v>
      </c>
      <c r="K176" s="2" t="s">
        <v>24</v>
      </c>
      <c r="L176" s="2">
        <v>3</v>
      </c>
      <c r="M176" s="2" t="s">
        <v>59</v>
      </c>
      <c r="N176" s="2" t="s">
        <v>26</v>
      </c>
      <c r="O176" s="2">
        <v>0</v>
      </c>
      <c r="P176" s="2" t="s">
        <v>45</v>
      </c>
      <c r="Q176" s="2" t="s">
        <v>28</v>
      </c>
      <c r="R176" s="7"/>
      <c r="S176">
        <f t="shared" si="2"/>
        <v>3</v>
      </c>
    </row>
    <row r="177" spans="1:19" x14ac:dyDescent="0.25">
      <c r="A177" s="3" t="s">
        <v>384</v>
      </c>
      <c r="B177" s="3" t="s">
        <v>385</v>
      </c>
      <c r="C177" s="3" t="s">
        <v>39</v>
      </c>
      <c r="D177" s="3" t="s">
        <v>386</v>
      </c>
      <c r="E177" s="3" t="s">
        <v>41</v>
      </c>
      <c r="F177" s="3" t="s">
        <v>42</v>
      </c>
      <c r="G177" s="3" t="s">
        <v>43</v>
      </c>
      <c r="H177" s="3" t="s">
        <v>95</v>
      </c>
      <c r="I177" s="3"/>
      <c r="J177" s="3">
        <v>8</v>
      </c>
      <c r="K177" s="3" t="s">
        <v>26</v>
      </c>
      <c r="L177" s="3">
        <v>3</v>
      </c>
      <c r="M177" s="3" t="s">
        <v>51</v>
      </c>
      <c r="N177" s="3" t="s">
        <v>26</v>
      </c>
      <c r="O177" s="3">
        <v>1</v>
      </c>
      <c r="P177" s="3" t="s">
        <v>13</v>
      </c>
      <c r="Q177" s="3" t="s">
        <v>46</v>
      </c>
      <c r="R177" s="8"/>
      <c r="S177">
        <f t="shared" si="2"/>
        <v>3</v>
      </c>
    </row>
    <row r="178" spans="1:19" x14ac:dyDescent="0.25">
      <c r="A178" s="2" t="s">
        <v>387</v>
      </c>
      <c r="B178" s="2" t="s">
        <v>388</v>
      </c>
      <c r="C178" s="2" t="s">
        <v>63</v>
      </c>
      <c r="D178" s="2" t="s">
        <v>64</v>
      </c>
      <c r="E178" s="2" t="s">
        <v>33</v>
      </c>
      <c r="F178" s="2" t="s">
        <v>34</v>
      </c>
      <c r="G178" s="2" t="s">
        <v>43</v>
      </c>
      <c r="H178" s="2" t="s">
        <v>80</v>
      </c>
      <c r="I178" s="2">
        <v>10.6</v>
      </c>
      <c r="J178" s="2">
        <v>2.4</v>
      </c>
      <c r="K178" s="2" t="s">
        <v>26</v>
      </c>
      <c r="L178" s="2">
        <v>2</v>
      </c>
      <c r="M178" s="2" t="s">
        <v>25</v>
      </c>
      <c r="N178" s="2" t="s">
        <v>24</v>
      </c>
      <c r="O178" s="2">
        <v>3</v>
      </c>
      <c r="P178" s="2" t="s">
        <v>13</v>
      </c>
      <c r="Q178" s="2" t="s">
        <v>67</v>
      </c>
      <c r="R178" s="7"/>
      <c r="S178">
        <f t="shared" si="2"/>
        <v>2</v>
      </c>
    </row>
    <row r="179" spans="1:19" x14ac:dyDescent="0.25">
      <c r="A179" s="3" t="s">
        <v>389</v>
      </c>
      <c r="B179" s="3" t="s">
        <v>177</v>
      </c>
      <c r="C179" s="3" t="s">
        <v>78</v>
      </c>
      <c r="D179" s="3" t="s">
        <v>79</v>
      </c>
      <c r="E179" s="3" t="s">
        <v>20</v>
      </c>
      <c r="F179" s="3" t="s">
        <v>21</v>
      </c>
      <c r="G179" s="3" t="s">
        <v>41</v>
      </c>
      <c r="H179" s="3" t="s">
        <v>23</v>
      </c>
      <c r="I179" s="3">
        <v>1.8</v>
      </c>
      <c r="J179" s="3">
        <v>4.0999999999999996</v>
      </c>
      <c r="K179" s="3" t="s">
        <v>24</v>
      </c>
      <c r="L179" s="3">
        <v>5</v>
      </c>
      <c r="M179" s="3" t="s">
        <v>25</v>
      </c>
      <c r="N179" s="3" t="s">
        <v>26</v>
      </c>
      <c r="O179" s="3">
        <v>1</v>
      </c>
      <c r="P179" s="3" t="s">
        <v>66</v>
      </c>
      <c r="Q179" s="3" t="s">
        <v>82</v>
      </c>
      <c r="R179" s="8"/>
      <c r="S179">
        <f t="shared" si="2"/>
        <v>5</v>
      </c>
    </row>
    <row r="180" spans="1:19" x14ac:dyDescent="0.25">
      <c r="A180" s="2" t="s">
        <v>390</v>
      </c>
      <c r="B180" s="2" t="s">
        <v>391</v>
      </c>
      <c r="C180" s="2" t="s">
        <v>70</v>
      </c>
      <c r="D180" s="2" t="s">
        <v>71</v>
      </c>
      <c r="E180" s="2" t="s">
        <v>33</v>
      </c>
      <c r="F180" s="2" t="s">
        <v>34</v>
      </c>
      <c r="G180" s="2" t="s">
        <v>22</v>
      </c>
      <c r="H180" s="2" t="s">
        <v>23</v>
      </c>
      <c r="I180" s="2">
        <v>11.6</v>
      </c>
      <c r="J180" s="2">
        <v>1.8</v>
      </c>
      <c r="K180" s="2" t="s">
        <v>24</v>
      </c>
      <c r="L180" s="2">
        <v>5</v>
      </c>
      <c r="M180" s="2" t="s">
        <v>51</v>
      </c>
      <c r="N180" s="2" t="s">
        <v>26</v>
      </c>
      <c r="O180" s="2">
        <v>1</v>
      </c>
      <c r="P180" s="2" t="s">
        <v>45</v>
      </c>
      <c r="Q180" s="2" t="s">
        <v>73</v>
      </c>
      <c r="R180" s="7"/>
      <c r="S180">
        <f t="shared" si="2"/>
        <v>5</v>
      </c>
    </row>
    <row r="181" spans="1:19" x14ac:dyDescent="0.25">
      <c r="A181" s="3" t="s">
        <v>392</v>
      </c>
      <c r="B181" s="3" t="s">
        <v>383</v>
      </c>
      <c r="C181" s="3" t="s">
        <v>31</v>
      </c>
      <c r="D181" s="3" t="s">
        <v>32</v>
      </c>
      <c r="E181" s="3" t="s">
        <v>33</v>
      </c>
      <c r="F181" s="3" t="s">
        <v>34</v>
      </c>
      <c r="G181" s="3" t="s">
        <v>43</v>
      </c>
      <c r="H181" s="3" t="s">
        <v>58</v>
      </c>
      <c r="I181" s="3">
        <v>6.4</v>
      </c>
      <c r="J181" s="3">
        <v>5.3</v>
      </c>
      <c r="K181" s="3" t="s">
        <v>24</v>
      </c>
      <c r="L181" s="3">
        <v>4</v>
      </c>
      <c r="M181" s="3" t="s">
        <v>81</v>
      </c>
      <c r="N181" s="3" t="s">
        <v>26</v>
      </c>
      <c r="O181" s="3">
        <v>1</v>
      </c>
      <c r="P181" s="3" t="s">
        <v>27</v>
      </c>
      <c r="Q181" s="3" t="s">
        <v>36</v>
      </c>
      <c r="R181" s="8"/>
      <c r="S181">
        <f t="shared" si="2"/>
        <v>4</v>
      </c>
    </row>
    <row r="182" spans="1:19" x14ac:dyDescent="0.25">
      <c r="A182" s="2" t="s">
        <v>393</v>
      </c>
      <c r="B182" s="2" t="s">
        <v>394</v>
      </c>
      <c r="C182" s="2" t="s">
        <v>39</v>
      </c>
      <c r="D182" s="2" t="s">
        <v>40</v>
      </c>
      <c r="E182" s="2" t="s">
        <v>41</v>
      </c>
      <c r="F182" s="2" t="s">
        <v>42</v>
      </c>
      <c r="G182" s="2" t="s">
        <v>43</v>
      </c>
      <c r="H182" s="2" t="s">
        <v>44</v>
      </c>
      <c r="I182" s="2">
        <v>1.8</v>
      </c>
      <c r="J182" s="2">
        <v>8.1999999999999993</v>
      </c>
      <c r="K182" s="2" t="s">
        <v>24</v>
      </c>
      <c r="L182" s="2">
        <v>4</v>
      </c>
      <c r="M182" s="2" t="s">
        <v>51</v>
      </c>
      <c r="N182" s="2" t="s">
        <v>26</v>
      </c>
      <c r="O182" s="2">
        <v>1</v>
      </c>
      <c r="P182" s="2" t="s">
        <v>13</v>
      </c>
      <c r="Q182" s="2" t="s">
        <v>46</v>
      </c>
      <c r="R182" s="7"/>
      <c r="S182">
        <f t="shared" si="2"/>
        <v>4</v>
      </c>
    </row>
    <row r="183" spans="1:19" x14ac:dyDescent="0.25">
      <c r="A183" s="3" t="s">
        <v>395</v>
      </c>
      <c r="B183" s="3" t="s">
        <v>396</v>
      </c>
      <c r="C183" s="3" t="s">
        <v>105</v>
      </c>
      <c r="D183" s="3" t="s">
        <v>106</v>
      </c>
      <c r="E183" s="3" t="s">
        <v>20</v>
      </c>
      <c r="F183" s="3" t="s">
        <v>21</v>
      </c>
      <c r="G183" s="3" t="s">
        <v>41</v>
      </c>
      <c r="H183" s="3" t="s">
        <v>80</v>
      </c>
      <c r="I183" s="3">
        <v>12.6</v>
      </c>
      <c r="J183" s="3">
        <v>4.8</v>
      </c>
      <c r="K183" s="3" t="s">
        <v>26</v>
      </c>
      <c r="L183" s="3">
        <v>5</v>
      </c>
      <c r="M183" s="3" t="s">
        <v>81</v>
      </c>
      <c r="N183" s="3" t="s">
        <v>24</v>
      </c>
      <c r="O183" s="3">
        <v>1</v>
      </c>
      <c r="P183" s="3" t="s">
        <v>66</v>
      </c>
      <c r="Q183" s="3" t="s">
        <v>107</v>
      </c>
      <c r="R183" s="8"/>
      <c r="S183">
        <f t="shared" si="2"/>
        <v>5</v>
      </c>
    </row>
    <row r="184" spans="1:19" x14ac:dyDescent="0.25">
      <c r="A184" s="2" t="s">
        <v>397</v>
      </c>
      <c r="B184" s="2" t="s">
        <v>398</v>
      </c>
      <c r="C184" s="2" t="s">
        <v>56</v>
      </c>
      <c r="D184" s="2" t="s">
        <v>57</v>
      </c>
      <c r="E184" s="2" t="s">
        <v>41</v>
      </c>
      <c r="F184" s="2" t="s">
        <v>42</v>
      </c>
      <c r="G184" s="2" t="s">
        <v>43</v>
      </c>
      <c r="H184" s="2" t="s">
        <v>95</v>
      </c>
      <c r="I184" s="2">
        <v>7.8</v>
      </c>
      <c r="J184" s="2">
        <v>2.2999999999999998</v>
      </c>
      <c r="K184" s="2" t="s">
        <v>24</v>
      </c>
      <c r="L184" s="2">
        <v>4</v>
      </c>
      <c r="M184" s="2" t="s">
        <v>25</v>
      </c>
      <c r="N184" s="2" t="s">
        <v>26</v>
      </c>
      <c r="O184" s="2">
        <v>1</v>
      </c>
      <c r="P184" s="2" t="s">
        <v>27</v>
      </c>
      <c r="Q184" s="2" t="s">
        <v>60</v>
      </c>
      <c r="R184" s="7"/>
      <c r="S184">
        <f t="shared" si="2"/>
        <v>4</v>
      </c>
    </row>
    <row r="185" spans="1:19" x14ac:dyDescent="0.25">
      <c r="A185" s="3" t="s">
        <v>399</v>
      </c>
      <c r="B185" s="3" t="s">
        <v>183</v>
      </c>
      <c r="C185" s="3" t="s">
        <v>49</v>
      </c>
      <c r="D185" s="3" t="s">
        <v>50</v>
      </c>
      <c r="E185" s="3" t="s">
        <v>41</v>
      </c>
      <c r="F185" s="3" t="s">
        <v>42</v>
      </c>
      <c r="G185" s="3" t="s">
        <v>22</v>
      </c>
      <c r="H185" s="3" t="s">
        <v>35</v>
      </c>
      <c r="I185" s="3">
        <v>4.0999999999999996</v>
      </c>
      <c r="J185" s="3">
        <v>0</v>
      </c>
      <c r="K185" s="3" t="s">
        <v>24</v>
      </c>
      <c r="L185" s="3">
        <v>4</v>
      </c>
      <c r="M185" s="3" t="s">
        <v>51</v>
      </c>
      <c r="N185" s="3" t="s">
        <v>26</v>
      </c>
      <c r="O185" s="3">
        <v>0</v>
      </c>
      <c r="P185" s="3" t="s">
        <v>27</v>
      </c>
      <c r="Q185" s="3" t="s">
        <v>53</v>
      </c>
      <c r="R185" s="8"/>
      <c r="S185">
        <f t="shared" si="2"/>
        <v>4</v>
      </c>
    </row>
    <row r="186" spans="1:19" x14ac:dyDescent="0.25">
      <c r="A186" s="2" t="s">
        <v>400</v>
      </c>
      <c r="B186" s="2" t="s">
        <v>291</v>
      </c>
      <c r="C186" s="2" t="s">
        <v>31</v>
      </c>
      <c r="D186" s="2" t="s">
        <v>32</v>
      </c>
      <c r="E186" s="2" t="s">
        <v>33</v>
      </c>
      <c r="F186" s="2" t="s">
        <v>34</v>
      </c>
      <c r="G186" s="2" t="s">
        <v>41</v>
      </c>
      <c r="H186" s="2" t="s">
        <v>58</v>
      </c>
      <c r="I186" s="2">
        <v>7.3</v>
      </c>
      <c r="J186" s="2">
        <v>1.4</v>
      </c>
      <c r="K186" s="2" t="s">
        <v>26</v>
      </c>
      <c r="L186" s="2">
        <v>3</v>
      </c>
      <c r="M186" s="2" t="s">
        <v>81</v>
      </c>
      <c r="N186" s="2" t="s">
        <v>24</v>
      </c>
      <c r="O186" s="2">
        <v>1</v>
      </c>
      <c r="P186" s="2" t="s">
        <v>45</v>
      </c>
      <c r="Q186" s="2" t="s">
        <v>36</v>
      </c>
      <c r="R186" s="7"/>
      <c r="S186">
        <f t="shared" si="2"/>
        <v>3</v>
      </c>
    </row>
    <row r="187" spans="1:19" x14ac:dyDescent="0.25">
      <c r="A187" s="3" t="s">
        <v>401</v>
      </c>
      <c r="B187" s="3" t="s">
        <v>402</v>
      </c>
      <c r="C187" s="3" t="s">
        <v>63</v>
      </c>
      <c r="D187" s="3" t="s">
        <v>64</v>
      </c>
      <c r="E187" s="3" t="s">
        <v>33</v>
      </c>
      <c r="F187" s="3" t="s">
        <v>34</v>
      </c>
      <c r="G187" s="3" t="s">
        <v>41</v>
      </c>
      <c r="H187" s="3" t="s">
        <v>95</v>
      </c>
      <c r="I187" s="3">
        <v>7.3</v>
      </c>
      <c r="J187" s="3">
        <v>5.0999999999999996</v>
      </c>
      <c r="K187" s="3" t="s">
        <v>24</v>
      </c>
      <c r="L187" s="3">
        <v>5</v>
      </c>
      <c r="M187" s="3" t="s">
        <v>25</v>
      </c>
      <c r="N187" s="3" t="s">
        <v>26</v>
      </c>
      <c r="O187" s="3">
        <v>1</v>
      </c>
      <c r="P187" s="3" t="s">
        <v>27</v>
      </c>
      <c r="Q187" s="3" t="s">
        <v>67</v>
      </c>
      <c r="R187" s="8"/>
      <c r="S187">
        <f t="shared" si="2"/>
        <v>5</v>
      </c>
    </row>
    <row r="188" spans="1:19" x14ac:dyDescent="0.25">
      <c r="A188" s="2" t="s">
        <v>403</v>
      </c>
      <c r="B188" s="2" t="s">
        <v>135</v>
      </c>
      <c r="C188" s="2" t="s">
        <v>70</v>
      </c>
      <c r="D188" s="2" t="s">
        <v>71</v>
      </c>
      <c r="E188" s="2" t="s">
        <v>33</v>
      </c>
      <c r="F188" s="2" t="s">
        <v>34</v>
      </c>
      <c r="G188" s="2" t="s">
        <v>22</v>
      </c>
      <c r="H188" s="2" t="s">
        <v>80</v>
      </c>
      <c r="I188" s="2">
        <v>4.2</v>
      </c>
      <c r="J188" s="2">
        <v>3.7</v>
      </c>
      <c r="K188" s="2" t="s">
        <v>24</v>
      </c>
      <c r="L188" s="2">
        <v>5</v>
      </c>
      <c r="M188" s="2" t="s">
        <v>81</v>
      </c>
      <c r="N188" s="2" t="s">
        <v>26</v>
      </c>
      <c r="O188" s="2">
        <v>1</v>
      </c>
      <c r="P188" s="2" t="s">
        <v>27</v>
      </c>
      <c r="Q188" s="2" t="s">
        <v>73</v>
      </c>
      <c r="R188" s="7"/>
      <c r="S188">
        <f t="shared" si="2"/>
        <v>5</v>
      </c>
    </row>
    <row r="189" spans="1:19" x14ac:dyDescent="0.25">
      <c r="A189" s="3" t="s">
        <v>404</v>
      </c>
      <c r="B189" s="3" t="s">
        <v>405</v>
      </c>
      <c r="C189" s="3" t="s">
        <v>85</v>
      </c>
      <c r="D189" s="3" t="s">
        <v>86</v>
      </c>
      <c r="E189" s="3" t="s">
        <v>20</v>
      </c>
      <c r="F189" s="3" t="s">
        <v>21</v>
      </c>
      <c r="G189" s="3" t="s">
        <v>22</v>
      </c>
      <c r="H189" s="3" t="s">
        <v>72</v>
      </c>
      <c r="I189" s="3">
        <v>6.5</v>
      </c>
      <c r="J189" s="3">
        <v>5.6</v>
      </c>
      <c r="K189" s="3" t="s">
        <v>24</v>
      </c>
      <c r="L189" s="3">
        <v>5</v>
      </c>
      <c r="M189" s="3" t="s">
        <v>81</v>
      </c>
      <c r="N189" s="3" t="s">
        <v>26</v>
      </c>
      <c r="O189" s="3">
        <v>1</v>
      </c>
      <c r="P189" s="3" t="s">
        <v>27</v>
      </c>
      <c r="Q189" s="3" t="s">
        <v>87</v>
      </c>
      <c r="R189" s="8"/>
      <c r="S189">
        <f t="shared" si="2"/>
        <v>5</v>
      </c>
    </row>
    <row r="190" spans="1:19" x14ac:dyDescent="0.25">
      <c r="A190" s="2" t="s">
        <v>406</v>
      </c>
      <c r="B190" s="2" t="s">
        <v>62</v>
      </c>
      <c r="C190" s="2" t="s">
        <v>85</v>
      </c>
      <c r="D190" s="2" t="s">
        <v>86</v>
      </c>
      <c r="E190" s="2" t="s">
        <v>20</v>
      </c>
      <c r="F190" s="2" t="s">
        <v>21</v>
      </c>
      <c r="G190" s="2" t="s">
        <v>22</v>
      </c>
      <c r="H190" s="2" t="s">
        <v>80</v>
      </c>
      <c r="I190" s="2">
        <v>5.9</v>
      </c>
      <c r="J190" s="2">
        <v>8.5</v>
      </c>
      <c r="K190" s="2" t="s">
        <v>24</v>
      </c>
      <c r="L190" s="2">
        <v>5</v>
      </c>
      <c r="M190" s="2" t="s">
        <v>59</v>
      </c>
      <c r="N190" s="2" t="s">
        <v>26</v>
      </c>
      <c r="O190" s="2">
        <v>1</v>
      </c>
      <c r="P190" s="2" t="s">
        <v>13</v>
      </c>
      <c r="Q190" s="2" t="s">
        <v>87</v>
      </c>
      <c r="R190" s="7"/>
      <c r="S190">
        <f t="shared" si="2"/>
        <v>5</v>
      </c>
    </row>
    <row r="191" spans="1:19" x14ac:dyDescent="0.25">
      <c r="A191" s="3" t="s">
        <v>407</v>
      </c>
      <c r="B191" s="3" t="s">
        <v>408</v>
      </c>
      <c r="C191" s="3" t="s">
        <v>85</v>
      </c>
      <c r="D191" s="3" t="s">
        <v>86</v>
      </c>
      <c r="E191" s="3" t="s">
        <v>20</v>
      </c>
      <c r="F191" s="3" t="s">
        <v>21</v>
      </c>
      <c r="G191" s="3" t="s">
        <v>43</v>
      </c>
      <c r="H191" s="3" t="s">
        <v>65</v>
      </c>
      <c r="I191" s="3">
        <v>12.9</v>
      </c>
      <c r="J191" s="3">
        <v>2.6</v>
      </c>
      <c r="K191" s="3" t="s">
        <v>24</v>
      </c>
      <c r="L191" s="3">
        <v>3</v>
      </c>
      <c r="M191" s="3" t="s">
        <v>90</v>
      </c>
      <c r="N191" s="3" t="s">
        <v>26</v>
      </c>
      <c r="O191" s="3">
        <v>1</v>
      </c>
      <c r="P191" s="3" t="s">
        <v>52</v>
      </c>
      <c r="Q191" s="3" t="s">
        <v>87</v>
      </c>
      <c r="R191" s="8"/>
      <c r="S191">
        <f t="shared" si="2"/>
        <v>3</v>
      </c>
    </row>
    <row r="192" spans="1:19" x14ac:dyDescent="0.25">
      <c r="A192" s="2" t="s">
        <v>409</v>
      </c>
      <c r="B192" s="2" t="s">
        <v>187</v>
      </c>
      <c r="C192" s="2" t="s">
        <v>78</v>
      </c>
      <c r="D192" s="2" t="s">
        <v>79</v>
      </c>
      <c r="E192" s="2" t="s">
        <v>20</v>
      </c>
      <c r="F192" s="2" t="s">
        <v>21</v>
      </c>
      <c r="G192" s="2" t="s">
        <v>43</v>
      </c>
      <c r="H192" s="2" t="s">
        <v>72</v>
      </c>
      <c r="I192" s="2">
        <v>9.1999999999999993</v>
      </c>
      <c r="J192" s="2">
        <v>3.8</v>
      </c>
      <c r="K192" s="2" t="s">
        <v>24</v>
      </c>
      <c r="L192" s="2">
        <v>5</v>
      </c>
      <c r="M192" s="2" t="s">
        <v>51</v>
      </c>
      <c r="N192" s="2" t="s">
        <v>26</v>
      </c>
      <c r="O192" s="2">
        <v>1</v>
      </c>
      <c r="P192" s="2" t="s">
        <v>52</v>
      </c>
      <c r="Q192" s="2" t="s">
        <v>82</v>
      </c>
      <c r="R192" s="7"/>
      <c r="S192">
        <f t="shared" si="2"/>
        <v>5</v>
      </c>
    </row>
    <row r="193" spans="1:19" x14ac:dyDescent="0.25">
      <c r="A193" s="3" t="s">
        <v>410</v>
      </c>
      <c r="B193" s="3" t="s">
        <v>411</v>
      </c>
      <c r="C193" s="3" t="s">
        <v>85</v>
      </c>
      <c r="D193" s="3" t="s">
        <v>86</v>
      </c>
      <c r="E193" s="3" t="s">
        <v>20</v>
      </c>
      <c r="F193" s="3" t="s">
        <v>21</v>
      </c>
      <c r="G193" s="3" t="s">
        <v>43</v>
      </c>
      <c r="H193" s="3" t="s">
        <v>72</v>
      </c>
      <c r="I193" s="3">
        <v>7.5</v>
      </c>
      <c r="J193" s="3">
        <v>3</v>
      </c>
      <c r="K193" s="3" t="s">
        <v>24</v>
      </c>
      <c r="L193" s="3">
        <v>4</v>
      </c>
      <c r="M193" s="3" t="s">
        <v>81</v>
      </c>
      <c r="N193" s="3" t="s">
        <v>26</v>
      </c>
      <c r="O193" s="3">
        <v>0</v>
      </c>
      <c r="P193" s="3" t="s">
        <v>13</v>
      </c>
      <c r="Q193" s="3" t="s">
        <v>87</v>
      </c>
      <c r="R193" s="8"/>
      <c r="S193">
        <f t="shared" si="2"/>
        <v>4</v>
      </c>
    </row>
    <row r="194" spans="1:19" x14ac:dyDescent="0.25">
      <c r="A194" s="2" t="s">
        <v>412</v>
      </c>
      <c r="B194" s="2" t="s">
        <v>133</v>
      </c>
      <c r="C194" s="2" t="s">
        <v>18</v>
      </c>
      <c r="D194" s="2" t="s">
        <v>122</v>
      </c>
      <c r="E194" s="2" t="s">
        <v>20</v>
      </c>
      <c r="F194" s="2" t="s">
        <v>21</v>
      </c>
      <c r="G194" s="2" t="s">
        <v>43</v>
      </c>
      <c r="H194" s="2" t="s">
        <v>44</v>
      </c>
      <c r="I194" s="2">
        <v>3.9</v>
      </c>
      <c r="J194" s="2">
        <v>5.6</v>
      </c>
      <c r="K194" s="2" t="s">
        <v>26</v>
      </c>
      <c r="L194" s="2">
        <v>2</v>
      </c>
      <c r="M194" s="2" t="s">
        <v>59</v>
      </c>
      <c r="N194" s="2" t="s">
        <v>26</v>
      </c>
      <c r="O194" s="2">
        <v>0</v>
      </c>
      <c r="P194" s="2" t="s">
        <v>27</v>
      </c>
      <c r="Q194" s="2" t="s">
        <v>28</v>
      </c>
      <c r="R194" s="7"/>
      <c r="S194">
        <f t="shared" si="2"/>
        <v>2</v>
      </c>
    </row>
    <row r="195" spans="1:19" x14ac:dyDescent="0.25">
      <c r="A195" s="3" t="s">
        <v>413</v>
      </c>
      <c r="B195" s="3" t="s">
        <v>414</v>
      </c>
      <c r="C195" s="3" t="s">
        <v>31</v>
      </c>
      <c r="D195" s="3" t="s">
        <v>32</v>
      </c>
      <c r="E195" s="3" t="s">
        <v>33</v>
      </c>
      <c r="F195" s="3" t="s">
        <v>34</v>
      </c>
      <c r="G195" s="3" t="s">
        <v>41</v>
      </c>
      <c r="H195" s="3" t="s">
        <v>72</v>
      </c>
      <c r="I195" s="3">
        <v>8.1</v>
      </c>
      <c r="J195" s="3">
        <v>2.4</v>
      </c>
      <c r="K195" s="3" t="s">
        <v>24</v>
      </c>
      <c r="L195" s="3">
        <v>4</v>
      </c>
      <c r="M195" s="3" t="s">
        <v>51</v>
      </c>
      <c r="N195" s="3" t="s">
        <v>26</v>
      </c>
      <c r="O195" s="3">
        <v>0</v>
      </c>
      <c r="P195" s="3" t="s">
        <v>45</v>
      </c>
      <c r="Q195" s="3" t="s">
        <v>36</v>
      </c>
      <c r="R195" s="8"/>
      <c r="S195">
        <f t="shared" ref="S195:S258" si="3">IFERROR(L195,L196)</f>
        <v>4</v>
      </c>
    </row>
    <row r="196" spans="1:19" x14ac:dyDescent="0.25">
      <c r="A196" s="2" t="s">
        <v>415</v>
      </c>
      <c r="B196" s="2" t="s">
        <v>143</v>
      </c>
      <c r="C196" s="2" t="s">
        <v>70</v>
      </c>
      <c r="D196" s="2" t="s">
        <v>71</v>
      </c>
      <c r="E196" s="2" t="s">
        <v>33</v>
      </c>
      <c r="F196" s="2" t="s">
        <v>34</v>
      </c>
      <c r="G196" s="2" t="s">
        <v>22</v>
      </c>
      <c r="H196" s="2" t="s">
        <v>65</v>
      </c>
      <c r="I196" s="2">
        <v>3</v>
      </c>
      <c r="J196" s="2">
        <v>5.9</v>
      </c>
      <c r="K196" s="2" t="s">
        <v>24</v>
      </c>
      <c r="L196" s="2">
        <v>5</v>
      </c>
      <c r="M196" s="2" t="s">
        <v>90</v>
      </c>
      <c r="N196" s="2" t="s">
        <v>26</v>
      </c>
      <c r="O196" s="2">
        <v>0</v>
      </c>
      <c r="P196" s="2" t="s">
        <v>52</v>
      </c>
      <c r="Q196" s="2" t="s">
        <v>73</v>
      </c>
      <c r="R196" s="7"/>
      <c r="S196">
        <f t="shared" si="3"/>
        <v>5</v>
      </c>
    </row>
    <row r="197" spans="1:19" x14ac:dyDescent="0.25">
      <c r="A197" s="3" t="s">
        <v>416</v>
      </c>
      <c r="B197" s="3" t="s">
        <v>143</v>
      </c>
      <c r="C197" s="3" t="s">
        <v>105</v>
      </c>
      <c r="D197" s="3" t="s">
        <v>106</v>
      </c>
      <c r="E197" s="3" t="s">
        <v>20</v>
      </c>
      <c r="F197" s="3" t="s">
        <v>21</v>
      </c>
      <c r="G197" s="3" t="s">
        <v>22</v>
      </c>
      <c r="H197" s="3" t="s">
        <v>95</v>
      </c>
      <c r="I197" s="3">
        <v>6.8</v>
      </c>
      <c r="J197" s="3">
        <v>6.6</v>
      </c>
      <c r="K197" s="3" t="s">
        <v>24</v>
      </c>
      <c r="L197" s="3">
        <v>5</v>
      </c>
      <c r="M197" s="3" t="s">
        <v>81</v>
      </c>
      <c r="N197" s="3" t="s">
        <v>26</v>
      </c>
      <c r="O197" s="3">
        <v>1</v>
      </c>
      <c r="P197" s="3" t="s">
        <v>66</v>
      </c>
      <c r="Q197" s="3" t="s">
        <v>107</v>
      </c>
      <c r="R197" s="8"/>
      <c r="S197">
        <f t="shared" si="3"/>
        <v>5</v>
      </c>
    </row>
    <row r="198" spans="1:19" x14ac:dyDescent="0.25">
      <c r="A198" s="2" t="s">
        <v>417</v>
      </c>
      <c r="B198" s="2" t="s">
        <v>285</v>
      </c>
      <c r="C198" s="2" t="s">
        <v>63</v>
      </c>
      <c r="D198" s="2" t="s">
        <v>64</v>
      </c>
      <c r="E198" s="2" t="s">
        <v>33</v>
      </c>
      <c r="F198" s="2" t="s">
        <v>34</v>
      </c>
      <c r="G198" s="2" t="s">
        <v>43</v>
      </c>
      <c r="H198" s="2" t="s">
        <v>23</v>
      </c>
      <c r="I198" s="2">
        <v>7.2</v>
      </c>
      <c r="J198" s="2">
        <v>7.6</v>
      </c>
      <c r="K198" s="2" t="s">
        <v>24</v>
      </c>
      <c r="L198" s="2">
        <v>4</v>
      </c>
      <c r="M198" s="2" t="s">
        <v>90</v>
      </c>
      <c r="N198" s="2" t="s">
        <v>26</v>
      </c>
      <c r="O198" s="2">
        <v>1</v>
      </c>
      <c r="P198" s="2" t="s">
        <v>66</v>
      </c>
      <c r="Q198" s="2" t="s">
        <v>67</v>
      </c>
      <c r="R198" s="7"/>
      <c r="S198">
        <f t="shared" si="3"/>
        <v>4</v>
      </c>
    </row>
    <row r="199" spans="1:19" x14ac:dyDescent="0.25">
      <c r="A199" s="3" t="s">
        <v>418</v>
      </c>
      <c r="B199" s="3" t="s">
        <v>419</v>
      </c>
      <c r="C199" s="3" t="s">
        <v>56</v>
      </c>
      <c r="D199" s="3" t="s">
        <v>57</v>
      </c>
      <c r="E199" s="3" t="s">
        <v>41</v>
      </c>
      <c r="F199" s="3" t="s">
        <v>42</v>
      </c>
      <c r="G199" s="3" t="s">
        <v>41</v>
      </c>
      <c r="H199" s="3" t="s">
        <v>80</v>
      </c>
      <c r="I199" s="3">
        <v>7.1</v>
      </c>
      <c r="J199" s="3">
        <v>2.8</v>
      </c>
      <c r="K199" s="3" t="s">
        <v>24</v>
      </c>
      <c r="L199" s="3">
        <v>4</v>
      </c>
      <c r="M199" s="3" t="s">
        <v>25</v>
      </c>
      <c r="N199" s="3" t="s">
        <v>26</v>
      </c>
      <c r="O199" s="3">
        <v>1</v>
      </c>
      <c r="P199" s="3" t="s">
        <v>52</v>
      </c>
      <c r="Q199" s="3" t="s">
        <v>60</v>
      </c>
      <c r="R199" s="8"/>
      <c r="S199">
        <f t="shared" si="3"/>
        <v>4</v>
      </c>
    </row>
    <row r="200" spans="1:19" x14ac:dyDescent="0.25">
      <c r="A200" s="2" t="s">
        <v>420</v>
      </c>
      <c r="B200" s="2" t="s">
        <v>282</v>
      </c>
      <c r="C200" s="2" t="s">
        <v>18</v>
      </c>
      <c r="D200" s="2" t="s">
        <v>122</v>
      </c>
      <c r="E200" s="2" t="s">
        <v>20</v>
      </c>
      <c r="F200" s="2" t="s">
        <v>21</v>
      </c>
      <c r="G200" s="2" t="s">
        <v>43</v>
      </c>
      <c r="H200" s="2" t="s">
        <v>44</v>
      </c>
      <c r="I200" s="2">
        <v>8.6999999999999993</v>
      </c>
      <c r="J200" s="2">
        <v>5</v>
      </c>
      <c r="K200" s="2" t="s">
        <v>24</v>
      </c>
      <c r="L200" s="2">
        <v>4</v>
      </c>
      <c r="M200" s="2" t="s">
        <v>81</v>
      </c>
      <c r="N200" s="2" t="s">
        <v>26</v>
      </c>
      <c r="O200" s="2">
        <v>0</v>
      </c>
      <c r="P200" s="2" t="s">
        <v>45</v>
      </c>
      <c r="Q200" s="2" t="s">
        <v>28</v>
      </c>
      <c r="R200" s="7"/>
      <c r="S200">
        <f t="shared" si="3"/>
        <v>4</v>
      </c>
    </row>
    <row r="201" spans="1:19" x14ac:dyDescent="0.25">
      <c r="A201" s="3" t="s">
        <v>421</v>
      </c>
      <c r="B201" s="3" t="s">
        <v>422</v>
      </c>
      <c r="C201" s="3" t="s">
        <v>78</v>
      </c>
      <c r="D201" s="3" t="s">
        <v>79</v>
      </c>
      <c r="E201" s="3" t="s">
        <v>20</v>
      </c>
      <c r="F201" s="3" t="s">
        <v>21</v>
      </c>
      <c r="G201" s="3" t="s">
        <v>43</v>
      </c>
      <c r="H201" s="3" t="s">
        <v>72</v>
      </c>
      <c r="I201" s="3">
        <v>10.4</v>
      </c>
      <c r="J201" s="3">
        <v>3.5</v>
      </c>
      <c r="K201" s="3" t="s">
        <v>24</v>
      </c>
      <c r="L201" s="3">
        <v>5</v>
      </c>
      <c r="M201" s="3" t="s">
        <v>25</v>
      </c>
      <c r="N201" s="3" t="s">
        <v>26</v>
      </c>
      <c r="O201" s="3">
        <v>0</v>
      </c>
      <c r="P201" s="3" t="s">
        <v>66</v>
      </c>
      <c r="Q201" s="3" t="s">
        <v>82</v>
      </c>
      <c r="R201" s="8"/>
      <c r="S201">
        <f t="shared" si="3"/>
        <v>5</v>
      </c>
    </row>
    <row r="202" spans="1:19" x14ac:dyDescent="0.25">
      <c r="A202" s="2" t="s">
        <v>423</v>
      </c>
      <c r="B202" s="2"/>
      <c r="C202" s="2" t="s">
        <v>18</v>
      </c>
      <c r="D202" s="2" t="s">
        <v>19</v>
      </c>
      <c r="E202" s="2" t="s">
        <v>20</v>
      </c>
      <c r="F202" s="2" t="s">
        <v>21</v>
      </c>
      <c r="G202" s="2" t="s">
        <v>43</v>
      </c>
      <c r="H202" s="2" t="s">
        <v>80</v>
      </c>
      <c r="I202" s="2">
        <v>6.3</v>
      </c>
      <c r="J202" s="2">
        <v>4.3</v>
      </c>
      <c r="K202" s="2" t="s">
        <v>24</v>
      </c>
      <c r="L202" s="2"/>
      <c r="M202" s="2" t="s">
        <v>51</v>
      </c>
      <c r="N202" s="2" t="s">
        <v>26</v>
      </c>
      <c r="O202" s="2">
        <v>1</v>
      </c>
      <c r="P202" s="2" t="s">
        <v>45</v>
      </c>
      <c r="Q202" s="2" t="s">
        <v>28</v>
      </c>
      <c r="R202" s="7"/>
      <c r="S202">
        <f t="shared" si="3"/>
        <v>0</v>
      </c>
    </row>
    <row r="203" spans="1:19" x14ac:dyDescent="0.25">
      <c r="A203" s="3" t="s">
        <v>424</v>
      </c>
      <c r="B203" s="3" t="s">
        <v>197</v>
      </c>
      <c r="C203" s="3" t="s">
        <v>31</v>
      </c>
      <c r="D203" s="3" t="s">
        <v>32</v>
      </c>
      <c r="E203" s="3" t="s">
        <v>33</v>
      </c>
      <c r="F203" s="3" t="s">
        <v>34</v>
      </c>
      <c r="G203" s="3" t="s">
        <v>41</v>
      </c>
      <c r="H203" s="3" t="s">
        <v>95</v>
      </c>
      <c r="I203" s="3">
        <v>11.3</v>
      </c>
      <c r="J203" s="3">
        <v>3.4</v>
      </c>
      <c r="K203" s="3" t="s">
        <v>24</v>
      </c>
      <c r="L203" s="3">
        <v>4</v>
      </c>
      <c r="M203" s="3" t="s">
        <v>51</v>
      </c>
      <c r="N203" s="3" t="s">
        <v>26</v>
      </c>
      <c r="O203" s="3">
        <v>1</v>
      </c>
      <c r="P203" s="3" t="s">
        <v>52</v>
      </c>
      <c r="Q203" s="3" t="s">
        <v>36</v>
      </c>
      <c r="R203" s="8"/>
      <c r="S203">
        <f t="shared" si="3"/>
        <v>4</v>
      </c>
    </row>
    <row r="204" spans="1:19" x14ac:dyDescent="0.25">
      <c r="A204" s="2" t="s">
        <v>425</v>
      </c>
      <c r="B204" s="2" t="s">
        <v>426</v>
      </c>
      <c r="C204" s="2" t="s">
        <v>31</v>
      </c>
      <c r="D204" s="2" t="s">
        <v>32</v>
      </c>
      <c r="E204" s="2" t="s">
        <v>33</v>
      </c>
      <c r="F204" s="2" t="s">
        <v>34</v>
      </c>
      <c r="G204" s="2" t="s">
        <v>22</v>
      </c>
      <c r="H204" s="2" t="s">
        <v>80</v>
      </c>
      <c r="I204" s="2">
        <v>8.3000000000000007</v>
      </c>
      <c r="J204" s="2">
        <v>1</v>
      </c>
      <c r="K204" s="2" t="s">
        <v>24</v>
      </c>
      <c r="L204" s="2">
        <v>4</v>
      </c>
      <c r="M204" s="2" t="s">
        <v>25</v>
      </c>
      <c r="N204" s="2" t="s">
        <v>26</v>
      </c>
      <c r="O204" s="2">
        <v>0</v>
      </c>
      <c r="P204" s="2" t="s">
        <v>27</v>
      </c>
      <c r="Q204" s="2" t="s">
        <v>36</v>
      </c>
      <c r="R204" s="7"/>
      <c r="S204">
        <f t="shared" si="3"/>
        <v>4</v>
      </c>
    </row>
    <row r="205" spans="1:19" x14ac:dyDescent="0.25">
      <c r="A205" s="3" t="s">
        <v>427</v>
      </c>
      <c r="B205" s="3" t="s">
        <v>428</v>
      </c>
      <c r="C205" s="3" t="s">
        <v>18</v>
      </c>
      <c r="D205" s="3" t="s">
        <v>122</v>
      </c>
      <c r="E205" s="3" t="s">
        <v>20</v>
      </c>
      <c r="F205" s="3" t="s">
        <v>21</v>
      </c>
      <c r="G205" s="3" t="s">
        <v>43</v>
      </c>
      <c r="H205" s="3" t="s">
        <v>95</v>
      </c>
      <c r="I205" s="3">
        <v>11.5</v>
      </c>
      <c r="J205" s="3">
        <v>5</v>
      </c>
      <c r="K205" s="3" t="s">
        <v>24</v>
      </c>
      <c r="L205" s="3">
        <v>4</v>
      </c>
      <c r="M205" s="3" t="s">
        <v>25</v>
      </c>
      <c r="N205" s="3" t="s">
        <v>26</v>
      </c>
      <c r="O205" s="3">
        <v>0</v>
      </c>
      <c r="P205" s="3" t="s">
        <v>13</v>
      </c>
      <c r="Q205" s="3" t="s">
        <v>28</v>
      </c>
      <c r="R205" s="8"/>
      <c r="S205">
        <f t="shared" si="3"/>
        <v>4</v>
      </c>
    </row>
    <row r="206" spans="1:19" x14ac:dyDescent="0.25">
      <c r="A206" s="2" t="s">
        <v>429</v>
      </c>
      <c r="B206" s="2" t="s">
        <v>430</v>
      </c>
      <c r="C206" s="2" t="s">
        <v>31</v>
      </c>
      <c r="D206" s="2" t="s">
        <v>32</v>
      </c>
      <c r="E206" s="2" t="s">
        <v>33</v>
      </c>
      <c r="F206" s="2" t="s">
        <v>34</v>
      </c>
      <c r="G206" s="2" t="s">
        <v>22</v>
      </c>
      <c r="H206" s="2" t="s">
        <v>65</v>
      </c>
      <c r="I206" s="2">
        <v>7.3</v>
      </c>
      <c r="J206" s="2">
        <v>1.7</v>
      </c>
      <c r="K206" s="2" t="s">
        <v>24</v>
      </c>
      <c r="L206" s="2">
        <v>5</v>
      </c>
      <c r="M206" s="2" t="s">
        <v>51</v>
      </c>
      <c r="N206" s="2" t="s">
        <v>26</v>
      </c>
      <c r="O206" s="2">
        <v>1</v>
      </c>
      <c r="P206" s="2" t="s">
        <v>45</v>
      </c>
      <c r="Q206" s="2" t="s">
        <v>36</v>
      </c>
      <c r="R206" s="7"/>
      <c r="S206">
        <f t="shared" si="3"/>
        <v>5</v>
      </c>
    </row>
    <row r="207" spans="1:19" x14ac:dyDescent="0.25">
      <c r="A207" s="3" t="s">
        <v>431</v>
      </c>
      <c r="B207" s="3" t="s">
        <v>432</v>
      </c>
      <c r="C207" s="3" t="s">
        <v>63</v>
      </c>
      <c r="D207" s="3" t="s">
        <v>64</v>
      </c>
      <c r="E207" s="3" t="s">
        <v>33</v>
      </c>
      <c r="F207" s="3" t="s">
        <v>34</v>
      </c>
      <c r="G207" s="3" t="s">
        <v>22</v>
      </c>
      <c r="H207" s="3" t="s">
        <v>35</v>
      </c>
      <c r="I207" s="3">
        <v>4.5</v>
      </c>
      <c r="J207" s="3">
        <v>3</v>
      </c>
      <c r="K207" s="3" t="s">
        <v>24</v>
      </c>
      <c r="L207" s="3">
        <v>5</v>
      </c>
      <c r="M207" s="3" t="s">
        <v>25</v>
      </c>
      <c r="N207" s="3" t="s">
        <v>26</v>
      </c>
      <c r="O207" s="3">
        <v>1</v>
      </c>
      <c r="P207" s="3" t="s">
        <v>45</v>
      </c>
      <c r="Q207" s="3" t="s">
        <v>67</v>
      </c>
      <c r="R207" s="8"/>
      <c r="S207">
        <f t="shared" si="3"/>
        <v>5</v>
      </c>
    </row>
    <row r="208" spans="1:19" x14ac:dyDescent="0.25">
      <c r="A208" s="2" t="s">
        <v>433</v>
      </c>
      <c r="B208" s="2" t="s">
        <v>434</v>
      </c>
      <c r="C208" s="2" t="s">
        <v>56</v>
      </c>
      <c r="D208" s="2" t="s">
        <v>57</v>
      </c>
      <c r="E208" s="2" t="s">
        <v>41</v>
      </c>
      <c r="F208" s="2" t="s">
        <v>42</v>
      </c>
      <c r="G208" s="2" t="s">
        <v>22</v>
      </c>
      <c r="H208" s="2" t="s">
        <v>23</v>
      </c>
      <c r="I208" s="2">
        <v>10.8</v>
      </c>
      <c r="J208" s="2">
        <v>4.9000000000000004</v>
      </c>
      <c r="K208" s="2" t="s">
        <v>24</v>
      </c>
      <c r="L208" s="2">
        <v>5</v>
      </c>
      <c r="M208" s="2" t="s">
        <v>90</v>
      </c>
      <c r="N208" s="2" t="s">
        <v>26</v>
      </c>
      <c r="O208" s="2">
        <v>0</v>
      </c>
      <c r="P208" s="2" t="s">
        <v>45</v>
      </c>
      <c r="Q208" s="2" t="s">
        <v>60</v>
      </c>
      <c r="R208" s="7"/>
      <c r="S208">
        <f t="shared" si="3"/>
        <v>5</v>
      </c>
    </row>
    <row r="209" spans="1:19" x14ac:dyDescent="0.25">
      <c r="A209" s="3" t="s">
        <v>435</v>
      </c>
      <c r="B209" s="3" t="s">
        <v>242</v>
      </c>
      <c r="C209" s="3" t="s">
        <v>70</v>
      </c>
      <c r="D209" s="3" t="s">
        <v>71</v>
      </c>
      <c r="E209" s="3" t="s">
        <v>33</v>
      </c>
      <c r="F209" s="3" t="s">
        <v>34</v>
      </c>
      <c r="G209" s="3" t="s">
        <v>22</v>
      </c>
      <c r="H209" s="3" t="s">
        <v>95</v>
      </c>
      <c r="I209" s="3">
        <v>8.6</v>
      </c>
      <c r="J209" s="3">
        <v>0.6</v>
      </c>
      <c r="K209" s="3" t="s">
        <v>24</v>
      </c>
      <c r="L209" s="3">
        <v>5</v>
      </c>
      <c r="M209" s="3" t="s">
        <v>59</v>
      </c>
      <c r="N209" s="3" t="s">
        <v>26</v>
      </c>
      <c r="O209" s="3">
        <v>1</v>
      </c>
      <c r="P209" s="3" t="s">
        <v>66</v>
      </c>
      <c r="Q209" s="3" t="s">
        <v>73</v>
      </c>
      <c r="R209" s="8"/>
      <c r="S209">
        <f t="shared" si="3"/>
        <v>5</v>
      </c>
    </row>
    <row r="210" spans="1:19" x14ac:dyDescent="0.25">
      <c r="A210" s="2" t="s">
        <v>436</v>
      </c>
      <c r="B210" s="2" t="s">
        <v>327</v>
      </c>
      <c r="C210" s="2" t="s">
        <v>18</v>
      </c>
      <c r="D210" s="2" t="s">
        <v>122</v>
      </c>
      <c r="E210" s="2" t="s">
        <v>20</v>
      </c>
      <c r="F210" s="2" t="s">
        <v>21</v>
      </c>
      <c r="G210" s="2" t="s">
        <v>43</v>
      </c>
      <c r="H210" s="2" t="s">
        <v>44</v>
      </c>
      <c r="I210" s="2">
        <v>6.2</v>
      </c>
      <c r="J210" s="2">
        <v>1.3</v>
      </c>
      <c r="K210" s="2" t="s">
        <v>24</v>
      </c>
      <c r="L210" s="2">
        <v>4</v>
      </c>
      <c r="M210" s="2" t="s">
        <v>51</v>
      </c>
      <c r="N210" s="2" t="s">
        <v>26</v>
      </c>
      <c r="O210" s="2">
        <v>1</v>
      </c>
      <c r="P210" s="2" t="s">
        <v>45</v>
      </c>
      <c r="Q210" s="2" t="s">
        <v>28</v>
      </c>
      <c r="R210" s="7"/>
      <c r="S210">
        <f t="shared" si="3"/>
        <v>4</v>
      </c>
    </row>
    <row r="211" spans="1:19" x14ac:dyDescent="0.25">
      <c r="A211" s="3" t="s">
        <v>437</v>
      </c>
      <c r="B211" s="3" t="s">
        <v>438</v>
      </c>
      <c r="C211" s="3" t="s">
        <v>31</v>
      </c>
      <c r="D211" s="3" t="s">
        <v>32</v>
      </c>
      <c r="E211" s="3" t="s">
        <v>33</v>
      </c>
      <c r="F211" s="3" t="s">
        <v>34</v>
      </c>
      <c r="G211" s="3" t="s">
        <v>22</v>
      </c>
      <c r="H211" s="3" t="s">
        <v>44</v>
      </c>
      <c r="I211" s="3">
        <v>10.6</v>
      </c>
      <c r="J211" s="3">
        <v>1.1000000000000001</v>
      </c>
      <c r="K211" s="3" t="s">
        <v>24</v>
      </c>
      <c r="L211" s="3">
        <v>5</v>
      </c>
      <c r="M211" s="3" t="s">
        <v>81</v>
      </c>
      <c r="N211" s="3" t="s">
        <v>26</v>
      </c>
      <c r="O211" s="3">
        <v>1</v>
      </c>
      <c r="P211" s="3" t="s">
        <v>27</v>
      </c>
      <c r="Q211" s="3" t="s">
        <v>36</v>
      </c>
      <c r="R211" s="8"/>
      <c r="S211">
        <f t="shared" si="3"/>
        <v>5</v>
      </c>
    </row>
    <row r="212" spans="1:19" x14ac:dyDescent="0.25">
      <c r="A212" s="2" t="s">
        <v>439</v>
      </c>
      <c r="B212" s="2" t="s">
        <v>102</v>
      </c>
      <c r="C212" s="2" t="s">
        <v>63</v>
      </c>
      <c r="D212" s="2" t="s">
        <v>64</v>
      </c>
      <c r="E212" s="2" t="s">
        <v>33</v>
      </c>
      <c r="F212" s="2" t="s">
        <v>34</v>
      </c>
      <c r="G212" s="2" t="s">
        <v>22</v>
      </c>
      <c r="H212" s="2" t="s">
        <v>23</v>
      </c>
      <c r="I212" s="2"/>
      <c r="J212" s="2">
        <v>5.3</v>
      </c>
      <c r="K212" s="2" t="s">
        <v>24</v>
      </c>
      <c r="L212" s="2">
        <v>5</v>
      </c>
      <c r="M212" s="2" t="s">
        <v>81</v>
      </c>
      <c r="N212" s="2" t="s">
        <v>26</v>
      </c>
      <c r="O212" s="2">
        <v>0</v>
      </c>
      <c r="P212" s="2" t="s">
        <v>45</v>
      </c>
      <c r="Q212" s="2" t="s">
        <v>67</v>
      </c>
      <c r="R212" s="7"/>
      <c r="S212">
        <f t="shared" si="3"/>
        <v>5</v>
      </c>
    </row>
    <row r="213" spans="1:19" x14ac:dyDescent="0.25">
      <c r="A213" s="3" t="s">
        <v>440</v>
      </c>
      <c r="B213" s="3" t="s">
        <v>441</v>
      </c>
      <c r="C213" s="3" t="s">
        <v>18</v>
      </c>
      <c r="D213" s="3" t="s">
        <v>122</v>
      </c>
      <c r="E213" s="3" t="s">
        <v>20</v>
      </c>
      <c r="F213" s="3" t="s">
        <v>21</v>
      </c>
      <c r="G213" s="3" t="s">
        <v>43</v>
      </c>
      <c r="H213" s="3" t="s">
        <v>44</v>
      </c>
      <c r="I213" s="3">
        <v>8.6</v>
      </c>
      <c r="J213" s="3">
        <v>4.3</v>
      </c>
      <c r="K213" s="3" t="s">
        <v>24</v>
      </c>
      <c r="L213" s="3">
        <v>4</v>
      </c>
      <c r="M213" s="3" t="s">
        <v>59</v>
      </c>
      <c r="N213" s="3" t="s">
        <v>26</v>
      </c>
      <c r="O213" s="3">
        <v>0</v>
      </c>
      <c r="P213" s="3" t="s">
        <v>13</v>
      </c>
      <c r="Q213" s="3" t="s">
        <v>28</v>
      </c>
      <c r="R213" s="8"/>
      <c r="S213">
        <f t="shared" si="3"/>
        <v>4</v>
      </c>
    </row>
    <row r="214" spans="1:19" x14ac:dyDescent="0.25">
      <c r="A214" s="2" t="s">
        <v>442</v>
      </c>
      <c r="B214" s="2" t="s">
        <v>443</v>
      </c>
      <c r="C214" s="2" t="s">
        <v>85</v>
      </c>
      <c r="D214" s="2" t="s">
        <v>86</v>
      </c>
      <c r="E214" s="2" t="s">
        <v>20</v>
      </c>
      <c r="F214" s="2" t="s">
        <v>21</v>
      </c>
      <c r="G214" s="2" t="s">
        <v>41</v>
      </c>
      <c r="H214" s="2" t="s">
        <v>80</v>
      </c>
      <c r="I214" s="2">
        <v>9.1999999999999993</v>
      </c>
      <c r="J214" s="2">
        <v>7.9</v>
      </c>
      <c r="K214" s="2" t="s">
        <v>26</v>
      </c>
      <c r="L214" s="2">
        <v>2</v>
      </c>
      <c r="M214" s="2" t="s">
        <v>51</v>
      </c>
      <c r="N214" s="2" t="s">
        <v>26</v>
      </c>
      <c r="O214" s="2">
        <v>1</v>
      </c>
      <c r="P214" s="2" t="s">
        <v>13</v>
      </c>
      <c r="Q214" s="2" t="s">
        <v>87</v>
      </c>
      <c r="R214" s="7"/>
      <c r="S214">
        <f t="shared" si="3"/>
        <v>2</v>
      </c>
    </row>
    <row r="215" spans="1:19" x14ac:dyDescent="0.25">
      <c r="A215" s="3" t="s">
        <v>444</v>
      </c>
      <c r="B215" s="3" t="s">
        <v>445</v>
      </c>
      <c r="C215" s="3" t="s">
        <v>49</v>
      </c>
      <c r="D215" s="3" t="s">
        <v>50</v>
      </c>
      <c r="E215" s="3" t="s">
        <v>41</v>
      </c>
      <c r="F215" s="3" t="s">
        <v>42</v>
      </c>
      <c r="G215" s="3" t="s">
        <v>43</v>
      </c>
      <c r="H215" s="3" t="s">
        <v>35</v>
      </c>
      <c r="I215" s="3">
        <v>8.5</v>
      </c>
      <c r="J215" s="3">
        <v>8.1</v>
      </c>
      <c r="K215" s="3" t="s">
        <v>24</v>
      </c>
      <c r="L215" s="3">
        <v>5</v>
      </c>
      <c r="M215" s="3" t="s">
        <v>25</v>
      </c>
      <c r="N215" s="3" t="s">
        <v>26</v>
      </c>
      <c r="O215" s="3">
        <v>0</v>
      </c>
      <c r="P215" s="3" t="s">
        <v>52</v>
      </c>
      <c r="Q215" s="3" t="s">
        <v>53</v>
      </c>
      <c r="R215" s="8"/>
      <c r="S215">
        <f t="shared" si="3"/>
        <v>5</v>
      </c>
    </row>
    <row r="216" spans="1:19" x14ac:dyDescent="0.25">
      <c r="A216" s="2" t="s">
        <v>446</v>
      </c>
      <c r="B216" s="2" t="s">
        <v>447</v>
      </c>
      <c r="C216" s="2" t="s">
        <v>56</v>
      </c>
      <c r="D216" s="2" t="s">
        <v>57</v>
      </c>
      <c r="E216" s="2" t="s">
        <v>41</v>
      </c>
      <c r="F216" s="2" t="s">
        <v>42</v>
      </c>
      <c r="G216" s="2" t="s">
        <v>22</v>
      </c>
      <c r="H216" s="2" t="s">
        <v>80</v>
      </c>
      <c r="I216" s="2">
        <v>12.8</v>
      </c>
      <c r="J216" s="2">
        <v>1</v>
      </c>
      <c r="K216" s="2" t="s">
        <v>26</v>
      </c>
      <c r="L216" s="2">
        <v>4</v>
      </c>
      <c r="M216" s="2" t="s">
        <v>59</v>
      </c>
      <c r="N216" s="2" t="s">
        <v>26</v>
      </c>
      <c r="O216" s="2">
        <v>0</v>
      </c>
      <c r="P216" s="2" t="s">
        <v>66</v>
      </c>
      <c r="Q216" s="2" t="s">
        <v>60</v>
      </c>
      <c r="R216" s="7"/>
      <c r="S216">
        <f t="shared" si="3"/>
        <v>4</v>
      </c>
    </row>
    <row r="217" spans="1:19" x14ac:dyDescent="0.25">
      <c r="A217" s="3" t="s">
        <v>448</v>
      </c>
      <c r="B217" s="3" t="s">
        <v>242</v>
      </c>
      <c r="C217" s="3" t="s">
        <v>70</v>
      </c>
      <c r="D217" s="3" t="s">
        <v>71</v>
      </c>
      <c r="E217" s="3" t="s">
        <v>33</v>
      </c>
      <c r="F217" s="3" t="s">
        <v>34</v>
      </c>
      <c r="G217" s="3" t="s">
        <v>43</v>
      </c>
      <c r="H217" s="3" t="s">
        <v>65</v>
      </c>
      <c r="I217" s="3">
        <v>7.4</v>
      </c>
      <c r="J217" s="3">
        <v>5.2</v>
      </c>
      <c r="K217" s="3" t="s">
        <v>24</v>
      </c>
      <c r="L217" s="3">
        <v>4</v>
      </c>
      <c r="M217" s="3" t="s">
        <v>59</v>
      </c>
      <c r="N217" s="3" t="s">
        <v>26</v>
      </c>
      <c r="O217" s="3">
        <v>0</v>
      </c>
      <c r="P217" s="3" t="s">
        <v>13</v>
      </c>
      <c r="Q217" s="3" t="s">
        <v>73</v>
      </c>
      <c r="R217" s="8"/>
      <c r="S217">
        <f t="shared" si="3"/>
        <v>4</v>
      </c>
    </row>
    <row r="218" spans="1:19" x14ac:dyDescent="0.25">
      <c r="A218" s="2" t="s">
        <v>449</v>
      </c>
      <c r="B218" s="2" t="s">
        <v>119</v>
      </c>
      <c r="C218" s="2" t="s">
        <v>85</v>
      </c>
      <c r="D218" s="2" t="s">
        <v>86</v>
      </c>
      <c r="E218" s="2" t="s">
        <v>20</v>
      </c>
      <c r="F218" s="2" t="s">
        <v>21</v>
      </c>
      <c r="G218" s="2" t="s">
        <v>43</v>
      </c>
      <c r="H218" s="2" t="s">
        <v>72</v>
      </c>
      <c r="I218" s="2">
        <v>5.3</v>
      </c>
      <c r="J218" s="2">
        <v>5.0999999999999996</v>
      </c>
      <c r="K218" s="2" t="s">
        <v>24</v>
      </c>
      <c r="L218" s="2">
        <v>4</v>
      </c>
      <c r="M218" s="2" t="s">
        <v>90</v>
      </c>
      <c r="N218" s="2" t="s">
        <v>26</v>
      </c>
      <c r="O218" s="2">
        <v>1</v>
      </c>
      <c r="P218" s="2" t="s">
        <v>13</v>
      </c>
      <c r="Q218" s="2" t="s">
        <v>87</v>
      </c>
      <c r="R218" s="7"/>
      <c r="S218">
        <f t="shared" si="3"/>
        <v>4</v>
      </c>
    </row>
    <row r="219" spans="1:19" x14ac:dyDescent="0.25">
      <c r="A219" s="3" t="s">
        <v>450</v>
      </c>
      <c r="B219" s="3" t="s">
        <v>451</v>
      </c>
      <c r="C219" s="3" t="s">
        <v>18</v>
      </c>
      <c r="D219" s="3" t="s">
        <v>122</v>
      </c>
      <c r="E219" s="3" t="s">
        <v>20</v>
      </c>
      <c r="F219" s="3" t="s">
        <v>21</v>
      </c>
      <c r="G219" s="3" t="s">
        <v>43</v>
      </c>
      <c r="H219" s="3" t="s">
        <v>44</v>
      </c>
      <c r="I219" s="3">
        <v>13.1</v>
      </c>
      <c r="J219" s="3">
        <v>2.2000000000000002</v>
      </c>
      <c r="K219" s="3" t="s">
        <v>26</v>
      </c>
      <c r="L219" s="3">
        <v>2</v>
      </c>
      <c r="M219" s="3" t="s">
        <v>51</v>
      </c>
      <c r="N219" s="3" t="s">
        <v>26</v>
      </c>
      <c r="O219" s="3">
        <v>0</v>
      </c>
      <c r="P219" s="3" t="s">
        <v>45</v>
      </c>
      <c r="Q219" s="3" t="s">
        <v>28</v>
      </c>
      <c r="R219" s="8"/>
      <c r="S219">
        <f t="shared" si="3"/>
        <v>2</v>
      </c>
    </row>
    <row r="220" spans="1:19" x14ac:dyDescent="0.25">
      <c r="A220" s="2" t="s">
        <v>452</v>
      </c>
      <c r="B220" s="2" t="s">
        <v>357</v>
      </c>
      <c r="C220" s="2" t="s">
        <v>105</v>
      </c>
      <c r="D220" s="2" t="s">
        <v>106</v>
      </c>
      <c r="E220" s="2" t="s">
        <v>20</v>
      </c>
      <c r="F220" s="2" t="s">
        <v>21</v>
      </c>
      <c r="G220" s="2" t="s">
        <v>43</v>
      </c>
      <c r="H220" s="2" t="s">
        <v>80</v>
      </c>
      <c r="I220" s="2">
        <v>9.4</v>
      </c>
      <c r="J220" s="2">
        <v>3.1</v>
      </c>
      <c r="K220" s="2" t="s">
        <v>24</v>
      </c>
      <c r="L220" s="2">
        <v>5</v>
      </c>
      <c r="M220" s="2" t="s">
        <v>90</v>
      </c>
      <c r="N220" s="2" t="s">
        <v>26</v>
      </c>
      <c r="O220" s="2">
        <v>0</v>
      </c>
      <c r="P220" s="2" t="s">
        <v>52</v>
      </c>
      <c r="Q220" s="2" t="s">
        <v>107</v>
      </c>
      <c r="R220" s="7"/>
      <c r="S220">
        <f t="shared" si="3"/>
        <v>5</v>
      </c>
    </row>
    <row r="221" spans="1:19" x14ac:dyDescent="0.25">
      <c r="A221" s="3" t="s">
        <v>453</v>
      </c>
      <c r="B221" s="3" t="s">
        <v>454</v>
      </c>
      <c r="C221" s="3" t="s">
        <v>31</v>
      </c>
      <c r="D221" s="3" t="s">
        <v>32</v>
      </c>
      <c r="E221" s="3" t="s">
        <v>33</v>
      </c>
      <c r="F221" s="3" t="s">
        <v>34</v>
      </c>
      <c r="G221" s="3" t="s">
        <v>41</v>
      </c>
      <c r="H221" s="3" t="s">
        <v>72</v>
      </c>
      <c r="I221" s="3">
        <v>15.1</v>
      </c>
      <c r="J221" s="3">
        <v>2</v>
      </c>
      <c r="K221" s="3" t="s">
        <v>26</v>
      </c>
      <c r="L221" s="3">
        <v>2</v>
      </c>
      <c r="M221" s="3" t="s">
        <v>59</v>
      </c>
      <c r="N221" s="3" t="s">
        <v>26</v>
      </c>
      <c r="O221" s="3">
        <v>1</v>
      </c>
      <c r="P221" s="3" t="s">
        <v>13</v>
      </c>
      <c r="Q221" s="3" t="s">
        <v>36</v>
      </c>
      <c r="R221" s="8"/>
      <c r="S221">
        <f t="shared" si="3"/>
        <v>2</v>
      </c>
    </row>
    <row r="222" spans="1:19" x14ac:dyDescent="0.25">
      <c r="A222" s="2" t="s">
        <v>455</v>
      </c>
      <c r="B222" s="2" t="s">
        <v>342</v>
      </c>
      <c r="C222" s="2" t="s">
        <v>85</v>
      </c>
      <c r="D222" s="2" t="s">
        <v>86</v>
      </c>
      <c r="E222" s="2" t="s">
        <v>20</v>
      </c>
      <c r="F222" s="2" t="s">
        <v>21</v>
      </c>
      <c r="G222" s="2" t="s">
        <v>43</v>
      </c>
      <c r="H222" s="2" t="s">
        <v>80</v>
      </c>
      <c r="I222" s="2">
        <v>6.9</v>
      </c>
      <c r="J222" s="2">
        <v>5.5</v>
      </c>
      <c r="K222" s="2" t="s">
        <v>24</v>
      </c>
      <c r="L222" s="2">
        <v>4</v>
      </c>
      <c r="M222" s="2" t="s">
        <v>51</v>
      </c>
      <c r="N222" s="2" t="s">
        <v>26</v>
      </c>
      <c r="O222" s="2">
        <v>1</v>
      </c>
      <c r="P222" s="2" t="s">
        <v>66</v>
      </c>
      <c r="Q222" s="2" t="s">
        <v>87</v>
      </c>
      <c r="R222" s="7"/>
      <c r="S222">
        <f t="shared" si="3"/>
        <v>4</v>
      </c>
    </row>
    <row r="223" spans="1:19" x14ac:dyDescent="0.25">
      <c r="A223" s="3" t="s">
        <v>456</v>
      </c>
      <c r="B223" s="3" t="s">
        <v>256</v>
      </c>
      <c r="C223" s="3" t="s">
        <v>63</v>
      </c>
      <c r="D223" s="3" t="s">
        <v>64</v>
      </c>
      <c r="E223" s="3" t="s">
        <v>33</v>
      </c>
      <c r="F223" s="3" t="s">
        <v>34</v>
      </c>
      <c r="G223" s="3" t="s">
        <v>22</v>
      </c>
      <c r="H223" s="3" t="s">
        <v>23</v>
      </c>
      <c r="I223" s="3">
        <v>14.9</v>
      </c>
      <c r="J223" s="3">
        <v>7.3</v>
      </c>
      <c r="K223" s="3" t="s">
        <v>26</v>
      </c>
      <c r="L223" s="3">
        <v>4</v>
      </c>
      <c r="M223" s="3" t="s">
        <v>51</v>
      </c>
      <c r="N223" s="3" t="s">
        <v>26</v>
      </c>
      <c r="O223" s="3">
        <v>1</v>
      </c>
      <c r="P223" s="3" t="s">
        <v>66</v>
      </c>
      <c r="Q223" s="3" t="s">
        <v>67</v>
      </c>
      <c r="R223" s="8"/>
      <c r="S223">
        <f t="shared" si="3"/>
        <v>4</v>
      </c>
    </row>
    <row r="224" spans="1:19" x14ac:dyDescent="0.25">
      <c r="A224" s="2" t="s">
        <v>457</v>
      </c>
      <c r="B224" s="2" t="s">
        <v>197</v>
      </c>
      <c r="C224" s="2" t="s">
        <v>70</v>
      </c>
      <c r="D224" s="2" t="s">
        <v>71</v>
      </c>
      <c r="E224" s="2" t="s">
        <v>33</v>
      </c>
      <c r="F224" s="2" t="s">
        <v>34</v>
      </c>
      <c r="G224" s="2" t="s">
        <v>43</v>
      </c>
      <c r="H224" s="2" t="s">
        <v>72</v>
      </c>
      <c r="I224" s="2">
        <v>11.8</v>
      </c>
      <c r="J224" s="2">
        <v>4.3</v>
      </c>
      <c r="K224" s="2" t="s">
        <v>24</v>
      </c>
      <c r="L224" s="2">
        <v>4</v>
      </c>
      <c r="M224" s="2" t="s">
        <v>90</v>
      </c>
      <c r="N224" s="2" t="s">
        <v>26</v>
      </c>
      <c r="O224" s="2">
        <v>1</v>
      </c>
      <c r="P224" s="2" t="s">
        <v>66</v>
      </c>
      <c r="Q224" s="2" t="s">
        <v>73</v>
      </c>
      <c r="R224" s="7"/>
      <c r="S224">
        <f t="shared" si="3"/>
        <v>4</v>
      </c>
    </row>
    <row r="225" spans="1:19" x14ac:dyDescent="0.25">
      <c r="A225" s="3" t="s">
        <v>458</v>
      </c>
      <c r="B225" s="3" t="s">
        <v>459</v>
      </c>
      <c r="C225" s="3" t="s">
        <v>39</v>
      </c>
      <c r="D225" s="3" t="s">
        <v>40</v>
      </c>
      <c r="E225" s="3" t="s">
        <v>41</v>
      </c>
      <c r="F225" s="3" t="s">
        <v>42</v>
      </c>
      <c r="G225" s="3" t="s">
        <v>22</v>
      </c>
      <c r="H225" s="3" t="s">
        <v>95</v>
      </c>
      <c r="I225" s="3">
        <v>6</v>
      </c>
      <c r="J225" s="3">
        <v>3.4</v>
      </c>
      <c r="K225" s="3" t="s">
        <v>24</v>
      </c>
      <c r="L225" s="3">
        <v>4</v>
      </c>
      <c r="M225" s="3" t="s">
        <v>59</v>
      </c>
      <c r="N225" s="3" t="s">
        <v>26</v>
      </c>
      <c r="O225" s="3">
        <v>1</v>
      </c>
      <c r="P225" s="3" t="s">
        <v>66</v>
      </c>
      <c r="Q225" s="3" t="s">
        <v>46</v>
      </c>
      <c r="R225" s="8"/>
      <c r="S225">
        <f t="shared" si="3"/>
        <v>4</v>
      </c>
    </row>
    <row r="226" spans="1:19" x14ac:dyDescent="0.25">
      <c r="A226" s="2" t="s">
        <v>460</v>
      </c>
      <c r="B226" s="2" t="s">
        <v>461</v>
      </c>
      <c r="C226" s="2" t="s">
        <v>49</v>
      </c>
      <c r="D226" s="2" t="s">
        <v>50</v>
      </c>
      <c r="E226" s="2" t="s">
        <v>41</v>
      </c>
      <c r="F226" s="2" t="s">
        <v>42</v>
      </c>
      <c r="G226" s="2" t="s">
        <v>43</v>
      </c>
      <c r="H226" s="2" t="s">
        <v>58</v>
      </c>
      <c r="I226" s="2">
        <v>10.3</v>
      </c>
      <c r="J226" s="2">
        <v>6.8</v>
      </c>
      <c r="K226" s="2" t="s">
        <v>24</v>
      </c>
      <c r="L226" s="2">
        <v>4</v>
      </c>
      <c r="M226" s="2" t="s">
        <v>25</v>
      </c>
      <c r="N226" s="2" t="s">
        <v>26</v>
      </c>
      <c r="O226" s="2">
        <v>0</v>
      </c>
      <c r="P226" s="2" t="s">
        <v>27</v>
      </c>
      <c r="Q226" s="2" t="s">
        <v>53</v>
      </c>
      <c r="R226" s="7"/>
      <c r="S226">
        <f t="shared" si="3"/>
        <v>4</v>
      </c>
    </row>
    <row r="227" spans="1:19" x14ac:dyDescent="0.25">
      <c r="A227" s="3" t="s">
        <v>462</v>
      </c>
      <c r="B227" s="3" t="s">
        <v>301</v>
      </c>
      <c r="C227" s="3" t="s">
        <v>39</v>
      </c>
      <c r="D227" s="3" t="s">
        <v>386</v>
      </c>
      <c r="E227" s="3" t="s">
        <v>41</v>
      </c>
      <c r="F227" s="3" t="s">
        <v>42</v>
      </c>
      <c r="G227" s="3" t="s">
        <v>22</v>
      </c>
      <c r="H227" s="3" t="s">
        <v>80</v>
      </c>
      <c r="I227" s="3">
        <v>10.8</v>
      </c>
      <c r="J227" s="3">
        <v>6.1</v>
      </c>
      <c r="K227" s="3" t="s">
        <v>26</v>
      </c>
      <c r="L227" s="3">
        <v>2</v>
      </c>
      <c r="M227" s="3" t="s">
        <v>25</v>
      </c>
      <c r="N227" s="3" t="s">
        <v>24</v>
      </c>
      <c r="O227" s="3">
        <v>1</v>
      </c>
      <c r="P227" s="3" t="s">
        <v>27</v>
      </c>
      <c r="Q227" s="3" t="s">
        <v>46</v>
      </c>
      <c r="R227" s="8"/>
      <c r="S227">
        <f t="shared" si="3"/>
        <v>2</v>
      </c>
    </row>
    <row r="228" spans="1:19" x14ac:dyDescent="0.25">
      <c r="A228" s="2" t="s">
        <v>463</v>
      </c>
      <c r="B228" s="2" t="s">
        <v>464</v>
      </c>
      <c r="C228" s="2" t="s">
        <v>56</v>
      </c>
      <c r="D228" s="2" t="s">
        <v>57</v>
      </c>
      <c r="E228" s="2" t="s">
        <v>41</v>
      </c>
      <c r="F228" s="2" t="s">
        <v>42</v>
      </c>
      <c r="G228" s="2" t="s">
        <v>43</v>
      </c>
      <c r="H228" s="2" t="s">
        <v>35</v>
      </c>
      <c r="I228" s="2">
        <v>11.8</v>
      </c>
      <c r="J228" s="2">
        <v>2.5</v>
      </c>
      <c r="K228" s="2" t="s">
        <v>26</v>
      </c>
      <c r="L228" s="2">
        <v>1</v>
      </c>
      <c r="M228" s="2" t="s">
        <v>51</v>
      </c>
      <c r="N228" s="2" t="s">
        <v>26</v>
      </c>
      <c r="O228" s="2">
        <v>1</v>
      </c>
      <c r="P228" s="2" t="s">
        <v>45</v>
      </c>
      <c r="Q228" s="2" t="s">
        <v>60</v>
      </c>
      <c r="R228" s="7"/>
      <c r="S228">
        <f t="shared" si="3"/>
        <v>1</v>
      </c>
    </row>
    <row r="229" spans="1:19" x14ac:dyDescent="0.25">
      <c r="A229" s="3" t="s">
        <v>465</v>
      </c>
      <c r="B229" s="3" t="s">
        <v>366</v>
      </c>
      <c r="C229" s="3" t="s">
        <v>105</v>
      </c>
      <c r="D229" s="3" t="s">
        <v>106</v>
      </c>
      <c r="E229" s="3" t="s">
        <v>20</v>
      </c>
      <c r="F229" s="3" t="s">
        <v>21</v>
      </c>
      <c r="G229" s="3" t="s">
        <v>43</v>
      </c>
      <c r="H229" s="3" t="s">
        <v>65</v>
      </c>
      <c r="I229" s="3">
        <v>3.4</v>
      </c>
      <c r="J229" s="3">
        <v>4</v>
      </c>
      <c r="K229" s="3" t="s">
        <v>24</v>
      </c>
      <c r="L229" s="3">
        <v>4</v>
      </c>
      <c r="M229" s="3" t="s">
        <v>81</v>
      </c>
      <c r="N229" s="3" t="s">
        <v>26</v>
      </c>
      <c r="O229" s="3">
        <v>0</v>
      </c>
      <c r="P229" s="3" t="s">
        <v>45</v>
      </c>
      <c r="Q229" s="3" t="s">
        <v>107</v>
      </c>
      <c r="R229" s="8"/>
      <c r="S229">
        <f t="shared" si="3"/>
        <v>4</v>
      </c>
    </row>
    <row r="230" spans="1:19" x14ac:dyDescent="0.25">
      <c r="A230" s="2" t="s">
        <v>466</v>
      </c>
      <c r="B230" s="2" t="s">
        <v>467</v>
      </c>
      <c r="C230" s="2" t="s">
        <v>56</v>
      </c>
      <c r="D230" s="2" t="s">
        <v>57</v>
      </c>
      <c r="E230" s="2" t="s">
        <v>41</v>
      </c>
      <c r="F230" s="2" t="s">
        <v>42</v>
      </c>
      <c r="G230" s="2" t="s">
        <v>41</v>
      </c>
      <c r="H230" s="2" t="s">
        <v>72</v>
      </c>
      <c r="I230" s="2">
        <v>2.6</v>
      </c>
      <c r="J230" s="2">
        <v>3.4</v>
      </c>
      <c r="K230" s="2" t="s">
        <v>26</v>
      </c>
      <c r="L230" s="2">
        <v>3</v>
      </c>
      <c r="M230" s="2" t="s">
        <v>81</v>
      </c>
      <c r="N230" s="2" t="s">
        <v>24</v>
      </c>
      <c r="O230" s="2">
        <v>3</v>
      </c>
      <c r="P230" s="2" t="s">
        <v>52</v>
      </c>
      <c r="Q230" s="2" t="s">
        <v>60</v>
      </c>
      <c r="R230" s="7"/>
      <c r="S230">
        <f t="shared" si="3"/>
        <v>3</v>
      </c>
    </row>
    <row r="231" spans="1:19" x14ac:dyDescent="0.25">
      <c r="A231" s="3" t="s">
        <v>468</v>
      </c>
      <c r="B231" s="3" t="s">
        <v>252</v>
      </c>
      <c r="C231" s="3" t="s">
        <v>18</v>
      </c>
      <c r="D231" s="3" t="s">
        <v>122</v>
      </c>
      <c r="E231" s="3" t="s">
        <v>20</v>
      </c>
      <c r="F231" s="3" t="s">
        <v>21</v>
      </c>
      <c r="G231" s="3" t="s">
        <v>22</v>
      </c>
      <c r="H231" s="3" t="s">
        <v>44</v>
      </c>
      <c r="I231" s="3">
        <v>4.5999999999999996</v>
      </c>
      <c r="J231" s="3">
        <v>0.7</v>
      </c>
      <c r="K231" s="3" t="s">
        <v>24</v>
      </c>
      <c r="L231" s="3">
        <v>5</v>
      </c>
      <c r="M231" s="3" t="s">
        <v>51</v>
      </c>
      <c r="N231" s="3" t="s">
        <v>26</v>
      </c>
      <c r="O231" s="3">
        <v>0</v>
      </c>
      <c r="P231" s="3" t="s">
        <v>52</v>
      </c>
      <c r="Q231" s="3" t="s">
        <v>28</v>
      </c>
      <c r="R231" s="8"/>
      <c r="S231">
        <f t="shared" si="3"/>
        <v>5</v>
      </c>
    </row>
    <row r="232" spans="1:19" x14ac:dyDescent="0.25">
      <c r="A232" s="2" t="s">
        <v>469</v>
      </c>
      <c r="B232" s="2" t="s">
        <v>470</v>
      </c>
      <c r="C232" s="2" t="s">
        <v>105</v>
      </c>
      <c r="D232" s="2" t="s">
        <v>106</v>
      </c>
      <c r="E232" s="2" t="s">
        <v>20</v>
      </c>
      <c r="F232" s="2" t="s">
        <v>21</v>
      </c>
      <c r="G232" s="2" t="s">
        <v>43</v>
      </c>
      <c r="H232" s="2" t="s">
        <v>23</v>
      </c>
      <c r="I232" s="2">
        <v>4.9000000000000004</v>
      </c>
      <c r="J232" s="2">
        <v>1.6</v>
      </c>
      <c r="K232" s="2" t="s">
        <v>26</v>
      </c>
      <c r="L232" s="2">
        <v>2</v>
      </c>
      <c r="M232" s="2" t="s">
        <v>81</v>
      </c>
      <c r="N232" s="2" t="s">
        <v>26</v>
      </c>
      <c r="O232" s="2">
        <v>1</v>
      </c>
      <c r="P232" s="2" t="s">
        <v>27</v>
      </c>
      <c r="Q232" s="2" t="s">
        <v>107</v>
      </c>
      <c r="R232" s="7"/>
      <c r="S232">
        <f t="shared" si="3"/>
        <v>2</v>
      </c>
    </row>
    <row r="233" spans="1:19" x14ac:dyDescent="0.25">
      <c r="A233" s="3" t="s">
        <v>471</v>
      </c>
      <c r="B233" s="3" t="s">
        <v>472</v>
      </c>
      <c r="C233" s="3" t="s">
        <v>56</v>
      </c>
      <c r="D233" s="3" t="s">
        <v>57</v>
      </c>
      <c r="E233" s="3" t="s">
        <v>41</v>
      </c>
      <c r="F233" s="3" t="s">
        <v>42</v>
      </c>
      <c r="G233" s="3" t="s">
        <v>43</v>
      </c>
      <c r="H233" s="3" t="s">
        <v>23</v>
      </c>
      <c r="I233" s="3">
        <v>7.1</v>
      </c>
      <c r="J233" s="3">
        <v>4.0999999999999996</v>
      </c>
      <c r="K233" s="3" t="s">
        <v>26</v>
      </c>
      <c r="L233" s="3">
        <v>2</v>
      </c>
      <c r="M233" s="3" t="s">
        <v>81</v>
      </c>
      <c r="N233" s="3" t="s">
        <v>26</v>
      </c>
      <c r="O233" s="3">
        <v>0</v>
      </c>
      <c r="P233" s="3" t="s">
        <v>13</v>
      </c>
      <c r="Q233" s="3" t="s">
        <v>60</v>
      </c>
      <c r="R233" s="8"/>
      <c r="S233">
        <f t="shared" si="3"/>
        <v>2</v>
      </c>
    </row>
    <row r="234" spans="1:19" x14ac:dyDescent="0.25">
      <c r="A234" s="2" t="s">
        <v>473</v>
      </c>
      <c r="B234" s="2" t="s">
        <v>220</v>
      </c>
      <c r="C234" s="2" t="s">
        <v>70</v>
      </c>
      <c r="D234" s="2" t="s">
        <v>71</v>
      </c>
      <c r="E234" s="2" t="s">
        <v>33</v>
      </c>
      <c r="F234" s="2" t="s">
        <v>34</v>
      </c>
      <c r="G234" s="2" t="s">
        <v>43</v>
      </c>
      <c r="H234" s="2" t="s">
        <v>72</v>
      </c>
      <c r="I234" s="2">
        <v>8.1</v>
      </c>
      <c r="J234" s="2">
        <v>0.8</v>
      </c>
      <c r="K234" s="2" t="s">
        <v>24</v>
      </c>
      <c r="L234" s="2">
        <v>4</v>
      </c>
      <c r="M234" s="2" t="s">
        <v>51</v>
      </c>
      <c r="N234" s="2" t="s">
        <v>26</v>
      </c>
      <c r="O234" s="2">
        <v>0</v>
      </c>
      <c r="P234" s="2" t="s">
        <v>66</v>
      </c>
      <c r="Q234" s="2" t="s">
        <v>73</v>
      </c>
      <c r="R234" s="7"/>
      <c r="S234">
        <f t="shared" si="3"/>
        <v>4</v>
      </c>
    </row>
    <row r="235" spans="1:19" x14ac:dyDescent="0.25">
      <c r="A235" s="3" t="s">
        <v>474</v>
      </c>
      <c r="B235" s="3" t="s">
        <v>475</v>
      </c>
      <c r="C235" s="3" t="s">
        <v>85</v>
      </c>
      <c r="D235" s="3" t="s">
        <v>86</v>
      </c>
      <c r="E235" s="3" t="s">
        <v>20</v>
      </c>
      <c r="F235" s="3" t="s">
        <v>21</v>
      </c>
      <c r="G235" s="3" t="s">
        <v>43</v>
      </c>
      <c r="H235" s="3" t="s">
        <v>44</v>
      </c>
      <c r="I235" s="3">
        <v>5.5</v>
      </c>
      <c r="J235" s="3">
        <v>6.9</v>
      </c>
      <c r="K235" s="3" t="s">
        <v>24</v>
      </c>
      <c r="L235" s="3">
        <v>3</v>
      </c>
      <c r="M235" s="3" t="s">
        <v>81</v>
      </c>
      <c r="N235" s="3" t="s">
        <v>26</v>
      </c>
      <c r="O235" s="3">
        <v>1</v>
      </c>
      <c r="P235" s="3" t="s">
        <v>45</v>
      </c>
      <c r="Q235" s="3" t="s">
        <v>87</v>
      </c>
      <c r="R235" s="8"/>
      <c r="S235">
        <f t="shared" si="3"/>
        <v>3</v>
      </c>
    </row>
    <row r="236" spans="1:19" x14ac:dyDescent="0.25">
      <c r="A236" s="2" t="s">
        <v>476</v>
      </c>
      <c r="B236" s="2" t="s">
        <v>359</v>
      </c>
      <c r="C236" s="2" t="s">
        <v>49</v>
      </c>
      <c r="D236" s="2" t="s">
        <v>50</v>
      </c>
      <c r="E236" s="2" t="s">
        <v>41</v>
      </c>
      <c r="F236" s="2" t="s">
        <v>42</v>
      </c>
      <c r="G236" s="2" t="s">
        <v>43</v>
      </c>
      <c r="H236" s="2" t="s">
        <v>95</v>
      </c>
      <c r="I236" s="2">
        <v>4.7</v>
      </c>
      <c r="J236" s="2">
        <v>2.2999999999999998</v>
      </c>
      <c r="K236" s="2" t="s">
        <v>24</v>
      </c>
      <c r="L236" s="2">
        <v>4</v>
      </c>
      <c r="M236" s="2" t="s">
        <v>59</v>
      </c>
      <c r="N236" s="2" t="s">
        <v>26</v>
      </c>
      <c r="O236" s="2">
        <v>1</v>
      </c>
      <c r="P236" s="2" t="s">
        <v>45</v>
      </c>
      <c r="Q236" s="2" t="s">
        <v>53</v>
      </c>
      <c r="R236" s="7"/>
      <c r="S236">
        <f t="shared" si="3"/>
        <v>4</v>
      </c>
    </row>
    <row r="237" spans="1:19" x14ac:dyDescent="0.25">
      <c r="A237" s="3" t="s">
        <v>477</v>
      </c>
      <c r="B237" s="3" t="s">
        <v>478</v>
      </c>
      <c r="C237" s="3" t="s">
        <v>49</v>
      </c>
      <c r="D237" s="3" t="s">
        <v>50</v>
      </c>
      <c r="E237" s="3" t="s">
        <v>41</v>
      </c>
      <c r="F237" s="3" t="s">
        <v>42</v>
      </c>
      <c r="G237" s="3" t="s">
        <v>43</v>
      </c>
      <c r="H237" s="3" t="s">
        <v>58</v>
      </c>
      <c r="I237" s="3">
        <v>5.2</v>
      </c>
      <c r="J237" s="3">
        <v>3.4</v>
      </c>
      <c r="K237" s="3" t="s">
        <v>26</v>
      </c>
      <c r="L237" s="3">
        <v>3</v>
      </c>
      <c r="M237" s="3" t="s">
        <v>90</v>
      </c>
      <c r="N237" s="3" t="s">
        <v>24</v>
      </c>
      <c r="O237" s="3">
        <v>2</v>
      </c>
      <c r="P237" s="3" t="s">
        <v>13</v>
      </c>
      <c r="Q237" s="3" t="s">
        <v>53</v>
      </c>
      <c r="R237" s="8"/>
      <c r="S237">
        <f t="shared" si="3"/>
        <v>3</v>
      </c>
    </row>
    <row r="238" spans="1:19" x14ac:dyDescent="0.25">
      <c r="A238" s="2" t="s">
        <v>479</v>
      </c>
      <c r="B238" s="2" t="s">
        <v>480</v>
      </c>
      <c r="C238" s="2" t="s">
        <v>39</v>
      </c>
      <c r="D238" s="2" t="s">
        <v>40</v>
      </c>
      <c r="E238" s="2" t="s">
        <v>41</v>
      </c>
      <c r="F238" s="2" t="s">
        <v>42</v>
      </c>
      <c r="G238" s="2" t="s">
        <v>43</v>
      </c>
      <c r="H238" s="2" t="s">
        <v>58</v>
      </c>
      <c r="I238" s="2">
        <v>7</v>
      </c>
      <c r="J238" s="2">
        <v>1.2</v>
      </c>
      <c r="K238" s="2" t="s">
        <v>24</v>
      </c>
      <c r="L238" s="2">
        <v>5</v>
      </c>
      <c r="M238" s="2" t="s">
        <v>25</v>
      </c>
      <c r="N238" s="2" t="s">
        <v>26</v>
      </c>
      <c r="O238" s="2">
        <v>1</v>
      </c>
      <c r="P238" s="2" t="s">
        <v>66</v>
      </c>
      <c r="Q238" s="2" t="s">
        <v>46</v>
      </c>
      <c r="R238" s="7"/>
      <c r="S238">
        <f t="shared" si="3"/>
        <v>5</v>
      </c>
    </row>
    <row r="239" spans="1:19" x14ac:dyDescent="0.25">
      <c r="A239" s="3" t="s">
        <v>481</v>
      </c>
      <c r="B239" s="3" t="s">
        <v>482</v>
      </c>
      <c r="C239" s="3" t="s">
        <v>63</v>
      </c>
      <c r="D239" s="3" t="s">
        <v>64</v>
      </c>
      <c r="E239" s="3" t="s">
        <v>33</v>
      </c>
      <c r="F239" s="3" t="s">
        <v>34</v>
      </c>
      <c r="G239" s="3" t="s">
        <v>41</v>
      </c>
      <c r="H239" s="3" t="s">
        <v>44</v>
      </c>
      <c r="I239" s="3">
        <v>6.5</v>
      </c>
      <c r="J239" s="3">
        <v>5.2</v>
      </c>
      <c r="K239" s="3" t="s">
        <v>24</v>
      </c>
      <c r="L239" s="3">
        <v>3</v>
      </c>
      <c r="M239" s="3" t="s">
        <v>25</v>
      </c>
      <c r="N239" s="3" t="s">
        <v>26</v>
      </c>
      <c r="O239" s="3">
        <v>1</v>
      </c>
      <c r="P239" s="3" t="s">
        <v>52</v>
      </c>
      <c r="Q239" s="3" t="s">
        <v>67</v>
      </c>
      <c r="R239" s="8"/>
      <c r="S239">
        <f t="shared" si="3"/>
        <v>3</v>
      </c>
    </row>
    <row r="240" spans="1:19" x14ac:dyDescent="0.25">
      <c r="A240" s="2" t="s">
        <v>483</v>
      </c>
      <c r="B240" s="2" t="s">
        <v>364</v>
      </c>
      <c r="C240" s="2" t="s">
        <v>18</v>
      </c>
      <c r="D240" s="2" t="s">
        <v>122</v>
      </c>
      <c r="E240" s="2" t="s">
        <v>20</v>
      </c>
      <c r="F240" s="2" t="s">
        <v>21</v>
      </c>
      <c r="G240" s="2" t="s">
        <v>43</v>
      </c>
      <c r="H240" s="2" t="s">
        <v>35</v>
      </c>
      <c r="I240" s="2">
        <v>7.2</v>
      </c>
      <c r="J240" s="2">
        <v>4.7</v>
      </c>
      <c r="K240" s="2" t="s">
        <v>24</v>
      </c>
      <c r="L240" s="2">
        <v>4</v>
      </c>
      <c r="M240" s="2" t="s">
        <v>59</v>
      </c>
      <c r="N240" s="2" t="s">
        <v>26</v>
      </c>
      <c r="O240" s="2">
        <v>1</v>
      </c>
      <c r="P240" s="2" t="s">
        <v>52</v>
      </c>
      <c r="Q240" s="2" t="s">
        <v>28</v>
      </c>
      <c r="R240" s="7"/>
      <c r="S240">
        <f t="shared" si="3"/>
        <v>4</v>
      </c>
    </row>
    <row r="241" spans="1:19" x14ac:dyDescent="0.25">
      <c r="A241" s="3" t="s">
        <v>484</v>
      </c>
      <c r="B241" s="3" t="s">
        <v>485</v>
      </c>
      <c r="C241" s="3" t="s">
        <v>18</v>
      </c>
      <c r="D241" s="3" t="s">
        <v>122</v>
      </c>
      <c r="E241" s="3" t="s">
        <v>20</v>
      </c>
      <c r="F241" s="3" t="s">
        <v>21</v>
      </c>
      <c r="G241" s="3" t="s">
        <v>41</v>
      </c>
      <c r="H241" s="3" t="s">
        <v>65</v>
      </c>
      <c r="I241" s="3">
        <v>7.4</v>
      </c>
      <c r="J241" s="3">
        <v>1.5</v>
      </c>
      <c r="K241" s="3" t="s">
        <v>24</v>
      </c>
      <c r="L241" s="3">
        <v>5</v>
      </c>
      <c r="M241" s="3" t="s">
        <v>59</v>
      </c>
      <c r="N241" s="3" t="s">
        <v>26</v>
      </c>
      <c r="O241" s="3">
        <v>0</v>
      </c>
      <c r="P241" s="3" t="s">
        <v>27</v>
      </c>
      <c r="Q241" s="3" t="s">
        <v>28</v>
      </c>
      <c r="R241" s="8"/>
      <c r="S241">
        <f t="shared" si="3"/>
        <v>5</v>
      </c>
    </row>
    <row r="242" spans="1:19" x14ac:dyDescent="0.25">
      <c r="A242" s="2" t="s">
        <v>486</v>
      </c>
      <c r="B242" s="2" t="s">
        <v>461</v>
      </c>
      <c r="C242" s="2" t="s">
        <v>70</v>
      </c>
      <c r="D242" s="2" t="s">
        <v>71</v>
      </c>
      <c r="E242" s="2" t="s">
        <v>33</v>
      </c>
      <c r="F242" s="2" t="s">
        <v>34</v>
      </c>
      <c r="G242" s="2" t="s">
        <v>22</v>
      </c>
      <c r="H242" s="2" t="s">
        <v>35</v>
      </c>
      <c r="I242" s="2">
        <v>7.7</v>
      </c>
      <c r="J242" s="2">
        <v>5.6</v>
      </c>
      <c r="K242" s="2" t="s">
        <v>24</v>
      </c>
      <c r="L242" s="2"/>
      <c r="M242" s="2" t="s">
        <v>59</v>
      </c>
      <c r="N242" s="2" t="s">
        <v>26</v>
      </c>
      <c r="O242" s="2">
        <v>1</v>
      </c>
      <c r="P242" s="2" t="s">
        <v>66</v>
      </c>
      <c r="Q242" s="2" t="s">
        <v>73</v>
      </c>
      <c r="R242" s="7"/>
      <c r="S242">
        <f t="shared" si="3"/>
        <v>0</v>
      </c>
    </row>
    <row r="243" spans="1:19" x14ac:dyDescent="0.25">
      <c r="A243" s="3" t="s">
        <v>487</v>
      </c>
      <c r="B243" s="3" t="s">
        <v>309</v>
      </c>
      <c r="C243" s="3" t="s">
        <v>49</v>
      </c>
      <c r="D243" s="3" t="s">
        <v>50</v>
      </c>
      <c r="E243" s="3" t="s">
        <v>41</v>
      </c>
      <c r="F243" s="3" t="s">
        <v>42</v>
      </c>
      <c r="G243" s="3" t="s">
        <v>43</v>
      </c>
      <c r="H243" s="3" t="s">
        <v>65</v>
      </c>
      <c r="I243" s="3">
        <v>8</v>
      </c>
      <c r="J243" s="3">
        <v>5.5</v>
      </c>
      <c r="K243" s="3" t="s">
        <v>24</v>
      </c>
      <c r="L243" s="3">
        <v>4</v>
      </c>
      <c r="M243" s="3" t="s">
        <v>90</v>
      </c>
      <c r="N243" s="3" t="s">
        <v>26</v>
      </c>
      <c r="O243" s="3">
        <v>0</v>
      </c>
      <c r="P243" s="3" t="s">
        <v>52</v>
      </c>
      <c r="Q243" s="3" t="s">
        <v>53</v>
      </c>
      <c r="R243" s="8"/>
      <c r="S243">
        <f t="shared" si="3"/>
        <v>4</v>
      </c>
    </row>
    <row r="244" spans="1:19" x14ac:dyDescent="0.25">
      <c r="A244" s="2" t="s">
        <v>488</v>
      </c>
      <c r="B244" s="2" t="s">
        <v>301</v>
      </c>
      <c r="C244" s="2" t="s">
        <v>39</v>
      </c>
      <c r="D244" s="2" t="s">
        <v>40</v>
      </c>
      <c r="E244" s="2" t="s">
        <v>41</v>
      </c>
      <c r="F244" s="2" t="s">
        <v>42</v>
      </c>
      <c r="G244" s="2" t="s">
        <v>43</v>
      </c>
      <c r="H244" s="2" t="s">
        <v>44</v>
      </c>
      <c r="I244" s="2">
        <v>5.9</v>
      </c>
      <c r="J244" s="2">
        <v>6.4</v>
      </c>
      <c r="K244" s="2" t="s">
        <v>24</v>
      </c>
      <c r="L244" s="2">
        <v>5</v>
      </c>
      <c r="M244" s="2" t="s">
        <v>51</v>
      </c>
      <c r="N244" s="2" t="s">
        <v>26</v>
      </c>
      <c r="O244" s="2">
        <v>1</v>
      </c>
      <c r="P244" s="2" t="s">
        <v>52</v>
      </c>
      <c r="Q244" s="2" t="s">
        <v>46</v>
      </c>
      <c r="R244" s="7"/>
      <c r="S244">
        <f t="shared" si="3"/>
        <v>5</v>
      </c>
    </row>
    <row r="245" spans="1:19" x14ac:dyDescent="0.25">
      <c r="A245" s="3" t="s">
        <v>489</v>
      </c>
      <c r="B245" s="3" t="s">
        <v>269</v>
      </c>
      <c r="C245" s="3" t="s">
        <v>78</v>
      </c>
      <c r="D245" s="3" t="s">
        <v>79</v>
      </c>
      <c r="E245" s="3" t="s">
        <v>20</v>
      </c>
      <c r="F245" s="3" t="s">
        <v>21</v>
      </c>
      <c r="G245" s="3" t="s">
        <v>43</v>
      </c>
      <c r="H245" s="3" t="s">
        <v>95</v>
      </c>
      <c r="I245" s="3">
        <v>4.9000000000000004</v>
      </c>
      <c r="J245" s="3">
        <v>8.4</v>
      </c>
      <c r="K245" s="3" t="s">
        <v>26</v>
      </c>
      <c r="L245" s="3">
        <v>3</v>
      </c>
      <c r="M245" s="3" t="s">
        <v>51</v>
      </c>
      <c r="N245" s="3" t="s">
        <v>24</v>
      </c>
      <c r="O245" s="3">
        <v>3</v>
      </c>
      <c r="P245" s="3" t="s">
        <v>66</v>
      </c>
      <c r="Q245" s="3" t="s">
        <v>82</v>
      </c>
      <c r="R245" s="8"/>
      <c r="S245">
        <f t="shared" si="3"/>
        <v>3</v>
      </c>
    </row>
    <row r="246" spans="1:19" x14ac:dyDescent="0.25">
      <c r="A246" s="2" t="s">
        <v>490</v>
      </c>
      <c r="B246" s="2" t="s">
        <v>307</v>
      </c>
      <c r="C246" s="2" t="s">
        <v>49</v>
      </c>
      <c r="D246" s="2" t="s">
        <v>50</v>
      </c>
      <c r="E246" s="2" t="s">
        <v>41</v>
      </c>
      <c r="F246" s="2" t="s">
        <v>42</v>
      </c>
      <c r="G246" s="2" t="s">
        <v>43</v>
      </c>
      <c r="H246" s="2" t="s">
        <v>65</v>
      </c>
      <c r="I246" s="2">
        <v>4.0999999999999996</v>
      </c>
      <c r="J246" s="2">
        <v>6.6</v>
      </c>
      <c r="K246" s="2" t="s">
        <v>24</v>
      </c>
      <c r="L246" s="2">
        <v>4</v>
      </c>
      <c r="M246" s="2" t="s">
        <v>51</v>
      </c>
      <c r="N246" s="2" t="s">
        <v>26</v>
      </c>
      <c r="O246" s="2">
        <v>0</v>
      </c>
      <c r="P246" s="2" t="s">
        <v>27</v>
      </c>
      <c r="Q246" s="2" t="s">
        <v>53</v>
      </c>
      <c r="R246" s="7"/>
      <c r="S246">
        <f t="shared" si="3"/>
        <v>4</v>
      </c>
    </row>
    <row r="247" spans="1:19" x14ac:dyDescent="0.25">
      <c r="A247" s="3" t="s">
        <v>491</v>
      </c>
      <c r="B247" s="3" t="s">
        <v>364</v>
      </c>
      <c r="C247" s="3" t="s">
        <v>63</v>
      </c>
      <c r="D247" s="3" t="s">
        <v>64</v>
      </c>
      <c r="E247" s="3" t="s">
        <v>33</v>
      </c>
      <c r="F247" s="3" t="s">
        <v>34</v>
      </c>
      <c r="G247" s="3" t="s">
        <v>22</v>
      </c>
      <c r="H247" s="3" t="s">
        <v>65</v>
      </c>
      <c r="I247" s="3"/>
      <c r="J247" s="3">
        <v>3.5</v>
      </c>
      <c r="K247" s="3" t="s">
        <v>24</v>
      </c>
      <c r="L247" s="3">
        <v>5</v>
      </c>
      <c r="M247" s="3" t="s">
        <v>90</v>
      </c>
      <c r="N247" s="3" t="s">
        <v>26</v>
      </c>
      <c r="O247" s="3">
        <v>0</v>
      </c>
      <c r="P247" s="3" t="s">
        <v>52</v>
      </c>
      <c r="Q247" s="3" t="s">
        <v>67</v>
      </c>
      <c r="R247" s="8"/>
      <c r="S247">
        <f t="shared" si="3"/>
        <v>5</v>
      </c>
    </row>
    <row r="248" spans="1:19" x14ac:dyDescent="0.25">
      <c r="A248" s="2" t="s">
        <v>492</v>
      </c>
      <c r="B248" s="2" t="s">
        <v>493</v>
      </c>
      <c r="C248" s="2" t="s">
        <v>78</v>
      </c>
      <c r="D248" s="2" t="s">
        <v>79</v>
      </c>
      <c r="E248" s="2" t="s">
        <v>20</v>
      </c>
      <c r="F248" s="2" t="s">
        <v>21</v>
      </c>
      <c r="G248" s="2" t="s">
        <v>41</v>
      </c>
      <c r="H248" s="2" t="s">
        <v>95</v>
      </c>
      <c r="I248" s="2">
        <v>5.4</v>
      </c>
      <c r="J248" s="2">
        <v>1.3</v>
      </c>
      <c r="K248" s="2" t="s">
        <v>24</v>
      </c>
      <c r="L248" s="2">
        <v>5</v>
      </c>
      <c r="M248" s="2" t="s">
        <v>51</v>
      </c>
      <c r="N248" s="2" t="s">
        <v>26</v>
      </c>
      <c r="O248" s="2">
        <v>0</v>
      </c>
      <c r="P248" s="2" t="s">
        <v>52</v>
      </c>
      <c r="Q248" s="2" t="s">
        <v>82</v>
      </c>
      <c r="R248" s="7"/>
      <c r="S248">
        <f t="shared" si="3"/>
        <v>5</v>
      </c>
    </row>
    <row r="249" spans="1:19" x14ac:dyDescent="0.25">
      <c r="A249" s="3" t="s">
        <v>494</v>
      </c>
      <c r="B249" s="3" t="s">
        <v>282</v>
      </c>
      <c r="C249" s="3" t="s">
        <v>85</v>
      </c>
      <c r="D249" s="3" t="s">
        <v>86</v>
      </c>
      <c r="E249" s="3" t="s">
        <v>20</v>
      </c>
      <c r="F249" s="3" t="s">
        <v>21</v>
      </c>
      <c r="G249" s="3" t="s">
        <v>41</v>
      </c>
      <c r="H249" s="3" t="s">
        <v>58</v>
      </c>
      <c r="I249" s="3">
        <v>1.3</v>
      </c>
      <c r="J249" s="3">
        <v>3.8</v>
      </c>
      <c r="K249" s="3" t="s">
        <v>24</v>
      </c>
      <c r="L249" s="3">
        <v>5</v>
      </c>
      <c r="M249" s="3" t="s">
        <v>25</v>
      </c>
      <c r="N249" s="3" t="s">
        <v>26</v>
      </c>
      <c r="O249" s="3">
        <v>0</v>
      </c>
      <c r="P249" s="3" t="s">
        <v>66</v>
      </c>
      <c r="Q249" s="3" t="s">
        <v>87</v>
      </c>
      <c r="R249" s="8"/>
      <c r="S249">
        <f t="shared" si="3"/>
        <v>5</v>
      </c>
    </row>
    <row r="250" spans="1:19" x14ac:dyDescent="0.25">
      <c r="A250" s="2" t="s">
        <v>495</v>
      </c>
      <c r="B250" s="2" t="s">
        <v>496</v>
      </c>
      <c r="C250" s="2" t="s">
        <v>49</v>
      </c>
      <c r="D250" s="2" t="s">
        <v>50</v>
      </c>
      <c r="E250" s="2" t="s">
        <v>41</v>
      </c>
      <c r="F250" s="2" t="s">
        <v>42</v>
      </c>
      <c r="G250" s="2" t="s">
        <v>22</v>
      </c>
      <c r="H250" s="2" t="s">
        <v>58</v>
      </c>
      <c r="I250" s="2">
        <v>10.1</v>
      </c>
      <c r="J250" s="2">
        <v>6.4</v>
      </c>
      <c r="K250" s="2" t="s">
        <v>24</v>
      </c>
      <c r="L250" s="2">
        <v>4</v>
      </c>
      <c r="M250" s="2" t="s">
        <v>25</v>
      </c>
      <c r="N250" s="2" t="s">
        <v>26</v>
      </c>
      <c r="O250" s="2">
        <v>1</v>
      </c>
      <c r="P250" s="2" t="s">
        <v>66</v>
      </c>
      <c r="Q250" s="2" t="s">
        <v>53</v>
      </c>
      <c r="R250" s="7"/>
      <c r="S250">
        <f t="shared" si="3"/>
        <v>4</v>
      </c>
    </row>
    <row r="251" spans="1:19" x14ac:dyDescent="0.25">
      <c r="A251" s="3" t="s">
        <v>497</v>
      </c>
      <c r="B251" s="3" t="s">
        <v>498</v>
      </c>
      <c r="C251" s="3" t="s">
        <v>78</v>
      </c>
      <c r="D251" s="3" t="s">
        <v>79</v>
      </c>
      <c r="E251" s="3" t="s">
        <v>20</v>
      </c>
      <c r="F251" s="3" t="s">
        <v>21</v>
      </c>
      <c r="G251" s="3" t="s">
        <v>43</v>
      </c>
      <c r="H251" s="3" t="s">
        <v>44</v>
      </c>
      <c r="I251" s="3">
        <v>8.9</v>
      </c>
      <c r="J251" s="3">
        <v>7.3</v>
      </c>
      <c r="K251" s="3" t="s">
        <v>24</v>
      </c>
      <c r="L251" s="3">
        <v>4</v>
      </c>
      <c r="M251" s="3" t="s">
        <v>59</v>
      </c>
      <c r="N251" s="3" t="s">
        <v>26</v>
      </c>
      <c r="O251" s="3">
        <v>0</v>
      </c>
      <c r="P251" s="3" t="s">
        <v>52</v>
      </c>
      <c r="Q251" s="3" t="s">
        <v>82</v>
      </c>
      <c r="R251" s="8"/>
      <c r="S251">
        <f t="shared" si="3"/>
        <v>4</v>
      </c>
    </row>
    <row r="252" spans="1:19" x14ac:dyDescent="0.25">
      <c r="A252" s="2" t="s">
        <v>499</v>
      </c>
      <c r="B252" s="2"/>
      <c r="C252" s="2" t="s">
        <v>56</v>
      </c>
      <c r="D252" s="2" t="s">
        <v>500</v>
      </c>
      <c r="E252" s="2" t="s">
        <v>41</v>
      </c>
      <c r="F252" s="2" t="s">
        <v>42</v>
      </c>
      <c r="G252" s="2" t="s">
        <v>43</v>
      </c>
      <c r="H252" s="2" t="s">
        <v>44</v>
      </c>
      <c r="I252" s="2">
        <v>7.4</v>
      </c>
      <c r="J252" s="2">
        <v>2.9</v>
      </c>
      <c r="K252" s="2" t="s">
        <v>24</v>
      </c>
      <c r="L252" s="2">
        <v>5</v>
      </c>
      <c r="M252" s="2" t="s">
        <v>25</v>
      </c>
      <c r="N252" s="2" t="s">
        <v>26</v>
      </c>
      <c r="O252" s="2">
        <v>1</v>
      </c>
      <c r="P252" s="2" t="s">
        <v>45</v>
      </c>
      <c r="Q252" s="2" t="s">
        <v>60</v>
      </c>
      <c r="R252" s="7"/>
      <c r="S252">
        <f t="shared" si="3"/>
        <v>5</v>
      </c>
    </row>
    <row r="253" spans="1:19" x14ac:dyDescent="0.25">
      <c r="A253" s="3" t="s">
        <v>501</v>
      </c>
      <c r="B253" s="3" t="s">
        <v>147</v>
      </c>
      <c r="C253" s="3" t="s">
        <v>70</v>
      </c>
      <c r="D253" s="3" t="s">
        <v>71</v>
      </c>
      <c r="E253" s="3" t="s">
        <v>33</v>
      </c>
      <c r="F253" s="3" t="s">
        <v>34</v>
      </c>
      <c r="G253" s="3" t="s">
        <v>22</v>
      </c>
      <c r="H253" s="3" t="s">
        <v>58</v>
      </c>
      <c r="I253" s="3">
        <v>6.4</v>
      </c>
      <c r="J253" s="3">
        <v>5.5</v>
      </c>
      <c r="K253" s="3" t="s">
        <v>24</v>
      </c>
      <c r="L253" s="3">
        <v>5</v>
      </c>
      <c r="M253" s="3" t="s">
        <v>59</v>
      </c>
      <c r="N253" s="3" t="s">
        <v>26</v>
      </c>
      <c r="O253" s="3">
        <v>1</v>
      </c>
      <c r="P253" s="3" t="s">
        <v>66</v>
      </c>
      <c r="Q253" s="3" t="s">
        <v>73</v>
      </c>
      <c r="R253" s="8"/>
      <c r="S253">
        <f t="shared" si="3"/>
        <v>5</v>
      </c>
    </row>
    <row r="254" spans="1:19" x14ac:dyDescent="0.25">
      <c r="A254" s="2" t="s">
        <v>502</v>
      </c>
      <c r="B254" s="2" t="s">
        <v>503</v>
      </c>
      <c r="C254" s="2" t="s">
        <v>63</v>
      </c>
      <c r="D254" s="2" t="s">
        <v>64</v>
      </c>
      <c r="E254" s="2" t="s">
        <v>33</v>
      </c>
      <c r="F254" s="2" t="s">
        <v>34</v>
      </c>
      <c r="G254" s="2" t="s">
        <v>43</v>
      </c>
      <c r="H254" s="2" t="s">
        <v>58</v>
      </c>
      <c r="I254" s="2">
        <v>6.9</v>
      </c>
      <c r="J254" s="2">
        <v>5.5</v>
      </c>
      <c r="K254" s="2" t="s">
        <v>24</v>
      </c>
      <c r="L254" s="2">
        <v>5</v>
      </c>
      <c r="M254" s="2" t="s">
        <v>81</v>
      </c>
      <c r="N254" s="2" t="s">
        <v>26</v>
      </c>
      <c r="O254" s="2">
        <v>0</v>
      </c>
      <c r="P254" s="2" t="s">
        <v>45</v>
      </c>
      <c r="Q254" s="2" t="s">
        <v>67</v>
      </c>
      <c r="R254" s="7"/>
      <c r="S254">
        <f t="shared" si="3"/>
        <v>5</v>
      </c>
    </row>
    <row r="255" spans="1:19" x14ac:dyDescent="0.25">
      <c r="A255" s="3" t="s">
        <v>504</v>
      </c>
      <c r="B255" s="3" t="s">
        <v>307</v>
      </c>
      <c r="C255" s="3" t="s">
        <v>85</v>
      </c>
      <c r="D255" s="3" t="s">
        <v>86</v>
      </c>
      <c r="E255" s="3" t="s">
        <v>20</v>
      </c>
      <c r="F255" s="3" t="s">
        <v>21</v>
      </c>
      <c r="G255" s="3" t="s">
        <v>22</v>
      </c>
      <c r="H255" s="3" t="s">
        <v>65</v>
      </c>
      <c r="I255" s="3">
        <v>8.8000000000000007</v>
      </c>
      <c r="J255" s="3">
        <v>5.0999999999999996</v>
      </c>
      <c r="K255" s="3" t="s">
        <v>24</v>
      </c>
      <c r="L255" s="3">
        <v>4</v>
      </c>
      <c r="M255" s="3" t="s">
        <v>81</v>
      </c>
      <c r="N255" s="3" t="s">
        <v>26</v>
      </c>
      <c r="O255" s="3">
        <v>1</v>
      </c>
      <c r="P255" s="3" t="s">
        <v>13</v>
      </c>
      <c r="Q255" s="3" t="s">
        <v>87</v>
      </c>
      <c r="R255" s="8"/>
      <c r="S255">
        <f t="shared" si="3"/>
        <v>4</v>
      </c>
    </row>
    <row r="256" spans="1:19" x14ac:dyDescent="0.25">
      <c r="A256" s="2" t="s">
        <v>505</v>
      </c>
      <c r="B256" s="2" t="s">
        <v>94</v>
      </c>
      <c r="C256" s="2" t="s">
        <v>39</v>
      </c>
      <c r="D256" s="2" t="s">
        <v>40</v>
      </c>
      <c r="E256" s="2" t="s">
        <v>41</v>
      </c>
      <c r="F256" s="2" t="s">
        <v>42</v>
      </c>
      <c r="G256" s="2" t="s">
        <v>22</v>
      </c>
      <c r="H256" s="2" t="s">
        <v>44</v>
      </c>
      <c r="I256" s="2">
        <v>4.0999999999999996</v>
      </c>
      <c r="J256" s="2">
        <v>6</v>
      </c>
      <c r="K256" s="2" t="s">
        <v>24</v>
      </c>
      <c r="L256" s="2">
        <v>5</v>
      </c>
      <c r="M256" s="2" t="s">
        <v>25</v>
      </c>
      <c r="N256" s="2" t="s">
        <v>26</v>
      </c>
      <c r="O256" s="2">
        <v>1</v>
      </c>
      <c r="P256" s="2" t="s">
        <v>27</v>
      </c>
      <c r="Q256" s="2" t="s">
        <v>46</v>
      </c>
      <c r="R256" s="7"/>
      <c r="S256">
        <f t="shared" si="3"/>
        <v>5</v>
      </c>
    </row>
    <row r="257" spans="1:19" x14ac:dyDescent="0.25">
      <c r="A257" s="3" t="s">
        <v>506</v>
      </c>
      <c r="B257" s="3" t="s">
        <v>507</v>
      </c>
      <c r="C257" s="3" t="s">
        <v>31</v>
      </c>
      <c r="D257" s="3" t="s">
        <v>32</v>
      </c>
      <c r="E257" s="3" t="s">
        <v>33</v>
      </c>
      <c r="F257" s="3" t="s">
        <v>34</v>
      </c>
      <c r="G257" s="3" t="s">
        <v>43</v>
      </c>
      <c r="H257" s="3" t="s">
        <v>65</v>
      </c>
      <c r="I257" s="3">
        <v>9.4</v>
      </c>
      <c r="J257" s="3">
        <v>7.2</v>
      </c>
      <c r="K257" s="3" t="s">
        <v>24</v>
      </c>
      <c r="L257" s="3">
        <v>5</v>
      </c>
      <c r="M257" s="3" t="s">
        <v>90</v>
      </c>
      <c r="N257" s="3" t="s">
        <v>26</v>
      </c>
      <c r="O257" s="3">
        <v>0</v>
      </c>
      <c r="P257" s="3" t="s">
        <v>27</v>
      </c>
      <c r="Q257" s="3" t="s">
        <v>36</v>
      </c>
      <c r="R257" s="8"/>
      <c r="S257">
        <f t="shared" si="3"/>
        <v>5</v>
      </c>
    </row>
    <row r="258" spans="1:19" x14ac:dyDescent="0.25">
      <c r="A258" s="2" t="s">
        <v>508</v>
      </c>
      <c r="B258" s="2" t="s">
        <v>509</v>
      </c>
      <c r="C258" s="2" t="s">
        <v>31</v>
      </c>
      <c r="D258" s="2" t="s">
        <v>32</v>
      </c>
      <c r="E258" s="2" t="s">
        <v>33</v>
      </c>
      <c r="F258" s="2" t="s">
        <v>34</v>
      </c>
      <c r="G258" s="2" t="s">
        <v>22</v>
      </c>
      <c r="H258" s="2" t="s">
        <v>44</v>
      </c>
      <c r="I258" s="2">
        <v>5.7</v>
      </c>
      <c r="J258" s="2">
        <v>4.4000000000000004</v>
      </c>
      <c r="K258" s="2" t="s">
        <v>24</v>
      </c>
      <c r="L258" s="2">
        <v>5</v>
      </c>
      <c r="M258" s="2" t="s">
        <v>51</v>
      </c>
      <c r="N258" s="2" t="s">
        <v>26</v>
      </c>
      <c r="O258" s="2">
        <v>1</v>
      </c>
      <c r="P258" s="2" t="s">
        <v>27</v>
      </c>
      <c r="Q258" s="2" t="s">
        <v>36</v>
      </c>
      <c r="R258" s="7"/>
      <c r="S258">
        <f t="shared" si="3"/>
        <v>5</v>
      </c>
    </row>
    <row r="259" spans="1:19" x14ac:dyDescent="0.25">
      <c r="A259" s="3" t="s">
        <v>510</v>
      </c>
      <c r="B259" s="3" t="s">
        <v>298</v>
      </c>
      <c r="C259" s="3" t="s">
        <v>49</v>
      </c>
      <c r="D259" s="3" t="s">
        <v>50</v>
      </c>
      <c r="E259" s="3" t="s">
        <v>41</v>
      </c>
      <c r="F259" s="3" t="s">
        <v>42</v>
      </c>
      <c r="G259" s="3" t="s">
        <v>43</v>
      </c>
      <c r="H259" s="3" t="s">
        <v>58</v>
      </c>
      <c r="I259" s="3">
        <v>6</v>
      </c>
      <c r="J259" s="3">
        <v>5.8</v>
      </c>
      <c r="K259" s="3" t="s">
        <v>26</v>
      </c>
      <c r="L259" s="3">
        <v>3</v>
      </c>
      <c r="M259" s="3" t="s">
        <v>81</v>
      </c>
      <c r="N259" s="3" t="s">
        <v>26</v>
      </c>
      <c r="O259" s="3">
        <v>0</v>
      </c>
      <c r="P259" s="3" t="s">
        <v>13</v>
      </c>
      <c r="Q259" s="3" t="s">
        <v>53</v>
      </c>
      <c r="R259" s="8"/>
      <c r="S259">
        <f t="shared" ref="S259:S301" si="4">IFERROR(L259,L260)</f>
        <v>3</v>
      </c>
    </row>
    <row r="260" spans="1:19" x14ac:dyDescent="0.25">
      <c r="A260" s="2" t="s">
        <v>511</v>
      </c>
      <c r="B260" s="2" t="s">
        <v>512</v>
      </c>
      <c r="C260" s="2" t="s">
        <v>18</v>
      </c>
      <c r="D260" s="2" t="s">
        <v>122</v>
      </c>
      <c r="E260" s="2" t="s">
        <v>20</v>
      </c>
      <c r="F260" s="2" t="s">
        <v>21</v>
      </c>
      <c r="G260" s="2" t="s">
        <v>43</v>
      </c>
      <c r="H260" s="2" t="s">
        <v>44</v>
      </c>
      <c r="I260" s="2">
        <v>9.9</v>
      </c>
      <c r="J260" s="2">
        <v>6.8</v>
      </c>
      <c r="K260" s="2" t="s">
        <v>24</v>
      </c>
      <c r="L260" s="2">
        <v>4</v>
      </c>
      <c r="M260" s="2" t="s">
        <v>59</v>
      </c>
      <c r="N260" s="2" t="s">
        <v>26</v>
      </c>
      <c r="O260" s="2">
        <v>1</v>
      </c>
      <c r="P260" s="2" t="s">
        <v>27</v>
      </c>
      <c r="Q260" s="2" t="s">
        <v>28</v>
      </c>
      <c r="R260" s="7"/>
      <c r="S260">
        <f t="shared" si="4"/>
        <v>4</v>
      </c>
    </row>
    <row r="261" spans="1:19" x14ac:dyDescent="0.25">
      <c r="A261" s="3" t="s">
        <v>513</v>
      </c>
      <c r="B261" s="3" t="s">
        <v>514</v>
      </c>
      <c r="C261" s="3" t="s">
        <v>63</v>
      </c>
      <c r="D261" s="3" t="s">
        <v>64</v>
      </c>
      <c r="E261" s="3" t="s">
        <v>33</v>
      </c>
      <c r="F261" s="3" t="s">
        <v>34</v>
      </c>
      <c r="G261" s="3" t="s">
        <v>43</v>
      </c>
      <c r="H261" s="3" t="s">
        <v>95</v>
      </c>
      <c r="I261" s="3">
        <v>5</v>
      </c>
      <c r="J261" s="3">
        <v>1.7</v>
      </c>
      <c r="K261" s="3" t="s">
        <v>24</v>
      </c>
      <c r="L261" s="3">
        <v>5</v>
      </c>
      <c r="M261" s="3" t="s">
        <v>90</v>
      </c>
      <c r="N261" s="3" t="s">
        <v>26</v>
      </c>
      <c r="O261" s="3">
        <v>0</v>
      </c>
      <c r="P261" s="3" t="s">
        <v>27</v>
      </c>
      <c r="Q261" s="3" t="s">
        <v>67</v>
      </c>
      <c r="R261" s="8"/>
      <c r="S261">
        <f t="shared" si="4"/>
        <v>5</v>
      </c>
    </row>
    <row r="262" spans="1:19" x14ac:dyDescent="0.25">
      <c r="A262" s="2" t="s">
        <v>515</v>
      </c>
      <c r="B262" s="2" t="s">
        <v>369</v>
      </c>
      <c r="C262" s="2" t="s">
        <v>70</v>
      </c>
      <c r="D262" s="2" t="s">
        <v>71</v>
      </c>
      <c r="E262" s="2" t="s">
        <v>33</v>
      </c>
      <c r="F262" s="2" t="s">
        <v>34</v>
      </c>
      <c r="G262" s="2" t="s">
        <v>43</v>
      </c>
      <c r="H262" s="2" t="s">
        <v>72</v>
      </c>
      <c r="I262" s="2">
        <v>6.7</v>
      </c>
      <c r="J262" s="2">
        <v>6</v>
      </c>
      <c r="K262" s="2" t="s">
        <v>26</v>
      </c>
      <c r="L262" s="2">
        <v>2</v>
      </c>
      <c r="M262" s="2" t="s">
        <v>59</v>
      </c>
      <c r="N262" s="2" t="s">
        <v>24</v>
      </c>
      <c r="O262" s="2">
        <v>0</v>
      </c>
      <c r="P262" s="2" t="s">
        <v>52</v>
      </c>
      <c r="Q262" s="2" t="s">
        <v>73</v>
      </c>
      <c r="R262" s="7"/>
      <c r="S262">
        <f t="shared" si="4"/>
        <v>2</v>
      </c>
    </row>
    <row r="263" spans="1:19" x14ac:dyDescent="0.25">
      <c r="A263" s="3" t="s">
        <v>516</v>
      </c>
      <c r="B263" s="3" t="s">
        <v>383</v>
      </c>
      <c r="C263" s="3" t="s">
        <v>85</v>
      </c>
      <c r="D263" s="3" t="s">
        <v>86</v>
      </c>
      <c r="E263" s="3" t="s">
        <v>20</v>
      </c>
      <c r="F263" s="3" t="s">
        <v>21</v>
      </c>
      <c r="G263" s="3" t="s">
        <v>43</v>
      </c>
      <c r="H263" s="3" t="s">
        <v>58</v>
      </c>
      <c r="I263" s="3">
        <v>6.2</v>
      </c>
      <c r="J263" s="3">
        <v>2.2999999999999998</v>
      </c>
      <c r="K263" s="3" t="s">
        <v>24</v>
      </c>
      <c r="L263" s="3">
        <v>4</v>
      </c>
      <c r="M263" s="3" t="s">
        <v>51</v>
      </c>
      <c r="N263" s="3" t="s">
        <v>26</v>
      </c>
      <c r="O263" s="3">
        <v>1</v>
      </c>
      <c r="P263" s="3" t="s">
        <v>52</v>
      </c>
      <c r="Q263" s="3" t="s">
        <v>87</v>
      </c>
      <c r="R263" s="8"/>
      <c r="S263">
        <f t="shared" si="4"/>
        <v>4</v>
      </c>
    </row>
    <row r="264" spans="1:19" x14ac:dyDescent="0.25">
      <c r="A264" s="2" t="s">
        <v>517</v>
      </c>
      <c r="B264" s="2" t="s">
        <v>518</v>
      </c>
      <c r="C264" s="2" t="s">
        <v>31</v>
      </c>
      <c r="D264" s="2" t="s">
        <v>32</v>
      </c>
      <c r="E264" s="2" t="s">
        <v>33</v>
      </c>
      <c r="F264" s="2" t="s">
        <v>34</v>
      </c>
      <c r="G264" s="2" t="s">
        <v>41</v>
      </c>
      <c r="H264" s="2" t="s">
        <v>95</v>
      </c>
      <c r="I264" s="2">
        <v>7.4</v>
      </c>
      <c r="J264" s="2">
        <v>5.5</v>
      </c>
      <c r="K264" s="2" t="s">
        <v>24</v>
      </c>
      <c r="L264" s="2">
        <v>4</v>
      </c>
      <c r="M264" s="2" t="s">
        <v>51</v>
      </c>
      <c r="N264" s="2" t="s">
        <v>26</v>
      </c>
      <c r="O264" s="2">
        <v>0</v>
      </c>
      <c r="P264" s="2" t="s">
        <v>52</v>
      </c>
      <c r="Q264" s="2" t="s">
        <v>36</v>
      </c>
      <c r="R264" s="7"/>
      <c r="S264">
        <f t="shared" si="4"/>
        <v>4</v>
      </c>
    </row>
    <row r="265" spans="1:19" x14ac:dyDescent="0.25">
      <c r="A265" s="3" t="s">
        <v>519</v>
      </c>
      <c r="B265" s="3" t="s">
        <v>149</v>
      </c>
      <c r="C265" s="3" t="s">
        <v>18</v>
      </c>
      <c r="D265" s="3" t="s">
        <v>122</v>
      </c>
      <c r="E265" s="3" t="s">
        <v>20</v>
      </c>
      <c r="F265" s="3" t="s">
        <v>21</v>
      </c>
      <c r="G265" s="3" t="s">
        <v>43</v>
      </c>
      <c r="H265" s="3" t="s">
        <v>95</v>
      </c>
      <c r="I265" s="3">
        <v>5.9</v>
      </c>
      <c r="J265" s="3">
        <v>3.3</v>
      </c>
      <c r="K265" s="3" t="s">
        <v>24</v>
      </c>
      <c r="L265" s="3">
        <v>4</v>
      </c>
      <c r="M265" s="3" t="s">
        <v>51</v>
      </c>
      <c r="N265" s="3" t="s">
        <v>26</v>
      </c>
      <c r="O265" s="3">
        <v>1</v>
      </c>
      <c r="P265" s="3" t="s">
        <v>27</v>
      </c>
      <c r="Q265" s="3" t="s">
        <v>28</v>
      </c>
      <c r="R265" s="8"/>
      <c r="S265">
        <f t="shared" si="4"/>
        <v>4</v>
      </c>
    </row>
    <row r="266" spans="1:19" x14ac:dyDescent="0.25">
      <c r="A266" s="2" t="s">
        <v>520</v>
      </c>
      <c r="B266" s="2" t="s">
        <v>434</v>
      </c>
      <c r="C266" s="2" t="s">
        <v>39</v>
      </c>
      <c r="D266" s="2" t="s">
        <v>40</v>
      </c>
      <c r="E266" s="2" t="s">
        <v>41</v>
      </c>
      <c r="F266" s="2" t="s">
        <v>42</v>
      </c>
      <c r="G266" s="2" t="s">
        <v>43</v>
      </c>
      <c r="H266" s="2" t="s">
        <v>80</v>
      </c>
      <c r="I266" s="2">
        <v>12.5</v>
      </c>
      <c r="J266" s="2">
        <v>6.3</v>
      </c>
      <c r="K266" s="2" t="s">
        <v>26</v>
      </c>
      <c r="L266" s="2">
        <v>5</v>
      </c>
      <c r="M266" s="2" t="s">
        <v>25</v>
      </c>
      <c r="N266" s="2" t="s">
        <v>26</v>
      </c>
      <c r="O266" s="2">
        <v>0</v>
      </c>
      <c r="P266" s="2" t="s">
        <v>52</v>
      </c>
      <c r="Q266" s="2" t="s">
        <v>46</v>
      </c>
      <c r="R266" s="7"/>
      <c r="S266">
        <f t="shared" si="4"/>
        <v>5</v>
      </c>
    </row>
    <row r="267" spans="1:19" x14ac:dyDescent="0.25">
      <c r="A267" s="3" t="s">
        <v>521</v>
      </c>
      <c r="B267" s="3" t="s">
        <v>130</v>
      </c>
      <c r="C267" s="3" t="s">
        <v>18</v>
      </c>
      <c r="D267" s="3" t="s">
        <v>122</v>
      </c>
      <c r="E267" s="3" t="s">
        <v>20</v>
      </c>
      <c r="F267" s="3" t="s">
        <v>21</v>
      </c>
      <c r="G267" s="3" t="s">
        <v>22</v>
      </c>
      <c r="H267" s="3" t="s">
        <v>65</v>
      </c>
      <c r="I267" s="3">
        <v>8.4</v>
      </c>
      <c r="J267" s="3">
        <v>2.5</v>
      </c>
      <c r="K267" s="3" t="s">
        <v>24</v>
      </c>
      <c r="L267" s="3">
        <v>5</v>
      </c>
      <c r="M267" s="3" t="s">
        <v>51</v>
      </c>
      <c r="N267" s="3" t="s">
        <v>26</v>
      </c>
      <c r="O267" s="3">
        <v>1</v>
      </c>
      <c r="P267" s="3" t="s">
        <v>27</v>
      </c>
      <c r="Q267" s="3" t="s">
        <v>28</v>
      </c>
      <c r="R267" s="8"/>
      <c r="S267">
        <f t="shared" si="4"/>
        <v>5</v>
      </c>
    </row>
    <row r="268" spans="1:19" x14ac:dyDescent="0.25">
      <c r="A268" s="2" t="s">
        <v>522</v>
      </c>
      <c r="B268" s="2" t="s">
        <v>369</v>
      </c>
      <c r="C268" s="2" t="s">
        <v>31</v>
      </c>
      <c r="D268" s="2" t="s">
        <v>32</v>
      </c>
      <c r="E268" s="2" t="s">
        <v>33</v>
      </c>
      <c r="F268" s="2" t="s">
        <v>34</v>
      </c>
      <c r="G268" s="2" t="s">
        <v>41</v>
      </c>
      <c r="H268" s="2" t="s">
        <v>65</v>
      </c>
      <c r="I268" s="2">
        <v>10.1</v>
      </c>
      <c r="J268" s="2">
        <v>0.7</v>
      </c>
      <c r="K268" s="2" t="s">
        <v>24</v>
      </c>
      <c r="L268" s="2">
        <v>4</v>
      </c>
      <c r="M268" s="2" t="s">
        <v>90</v>
      </c>
      <c r="N268" s="2" t="s">
        <v>26</v>
      </c>
      <c r="O268" s="2">
        <v>1</v>
      </c>
      <c r="P268" s="2" t="s">
        <v>27</v>
      </c>
      <c r="Q268" s="2" t="s">
        <v>36</v>
      </c>
      <c r="R268" s="7"/>
      <c r="S268">
        <f t="shared" si="4"/>
        <v>4</v>
      </c>
    </row>
    <row r="269" spans="1:19" x14ac:dyDescent="0.25">
      <c r="A269" s="3" t="s">
        <v>523</v>
      </c>
      <c r="B269" s="3" t="s">
        <v>507</v>
      </c>
      <c r="C269" s="3" t="s">
        <v>78</v>
      </c>
      <c r="D269" s="3" t="s">
        <v>79</v>
      </c>
      <c r="E269" s="3" t="s">
        <v>20</v>
      </c>
      <c r="F269" s="3" t="s">
        <v>21</v>
      </c>
      <c r="G269" s="3" t="s">
        <v>22</v>
      </c>
      <c r="H269" s="3" t="s">
        <v>23</v>
      </c>
      <c r="I269" s="3">
        <v>7.4</v>
      </c>
      <c r="J269" s="3">
        <v>5.5</v>
      </c>
      <c r="K269" s="3" t="s">
        <v>24</v>
      </c>
      <c r="L269" s="3">
        <v>5</v>
      </c>
      <c r="M269" s="3" t="s">
        <v>90</v>
      </c>
      <c r="N269" s="3" t="s">
        <v>26</v>
      </c>
      <c r="O269" s="3">
        <v>0</v>
      </c>
      <c r="P269" s="3" t="s">
        <v>13</v>
      </c>
      <c r="Q269" s="3" t="s">
        <v>82</v>
      </c>
      <c r="R269" s="8"/>
      <c r="S269">
        <f t="shared" si="4"/>
        <v>5</v>
      </c>
    </row>
    <row r="270" spans="1:19" x14ac:dyDescent="0.25">
      <c r="A270" s="2" t="s">
        <v>524</v>
      </c>
      <c r="B270" s="2" t="s">
        <v>525</v>
      </c>
      <c r="C270" s="2" t="s">
        <v>70</v>
      </c>
      <c r="D270" s="2" t="s">
        <v>71</v>
      </c>
      <c r="E270" s="2" t="s">
        <v>33</v>
      </c>
      <c r="F270" s="2" t="s">
        <v>34</v>
      </c>
      <c r="G270" s="2" t="s">
        <v>43</v>
      </c>
      <c r="H270" s="2" t="s">
        <v>35</v>
      </c>
      <c r="I270" s="2">
        <v>7.5</v>
      </c>
      <c r="J270" s="2">
        <v>3</v>
      </c>
      <c r="K270" s="2" t="s">
        <v>26</v>
      </c>
      <c r="L270" s="2">
        <v>3</v>
      </c>
      <c r="M270" s="2" t="s">
        <v>59</v>
      </c>
      <c r="N270" s="2" t="s">
        <v>26</v>
      </c>
      <c r="O270" s="2">
        <v>1</v>
      </c>
      <c r="P270" s="2" t="s">
        <v>52</v>
      </c>
      <c r="Q270" s="2" t="s">
        <v>73</v>
      </c>
      <c r="R270" s="7"/>
      <c r="S270">
        <f t="shared" si="4"/>
        <v>3</v>
      </c>
    </row>
    <row r="271" spans="1:19" x14ac:dyDescent="0.25">
      <c r="A271" s="3" t="s">
        <v>526</v>
      </c>
      <c r="B271" s="3" t="s">
        <v>327</v>
      </c>
      <c r="C271" s="3" t="s">
        <v>63</v>
      </c>
      <c r="D271" s="3" t="s">
        <v>64</v>
      </c>
      <c r="E271" s="3" t="s">
        <v>33</v>
      </c>
      <c r="F271" s="3" t="s">
        <v>34</v>
      </c>
      <c r="G271" s="3" t="s">
        <v>22</v>
      </c>
      <c r="H271" s="3" t="s">
        <v>95</v>
      </c>
      <c r="I271" s="3">
        <v>12.7</v>
      </c>
      <c r="J271" s="3">
        <v>5.6</v>
      </c>
      <c r="K271" s="3" t="s">
        <v>26</v>
      </c>
      <c r="L271" s="3">
        <v>5</v>
      </c>
      <c r="M271" s="3" t="s">
        <v>90</v>
      </c>
      <c r="N271" s="3" t="s">
        <v>26</v>
      </c>
      <c r="O271" s="3">
        <v>1</v>
      </c>
      <c r="P271" s="3" t="s">
        <v>66</v>
      </c>
      <c r="Q271" s="3" t="s">
        <v>67</v>
      </c>
      <c r="R271" s="8"/>
      <c r="S271">
        <f t="shared" si="4"/>
        <v>5</v>
      </c>
    </row>
    <row r="272" spans="1:19" x14ac:dyDescent="0.25">
      <c r="A272" s="2" t="s">
        <v>527</v>
      </c>
      <c r="B272" s="2" t="s">
        <v>528</v>
      </c>
      <c r="C272" s="2" t="s">
        <v>105</v>
      </c>
      <c r="D272" s="2" t="s">
        <v>106</v>
      </c>
      <c r="E272" s="2" t="s">
        <v>20</v>
      </c>
      <c r="F272" s="2" t="s">
        <v>21</v>
      </c>
      <c r="G272" s="2" t="s">
        <v>41</v>
      </c>
      <c r="H272" s="2" t="s">
        <v>44</v>
      </c>
      <c r="I272" s="2">
        <v>12</v>
      </c>
      <c r="J272" s="2">
        <v>1.2</v>
      </c>
      <c r="K272" s="2" t="s">
        <v>26</v>
      </c>
      <c r="L272" s="2">
        <v>2</v>
      </c>
      <c r="M272" s="2" t="s">
        <v>81</v>
      </c>
      <c r="N272" s="2" t="s">
        <v>26</v>
      </c>
      <c r="O272" s="2">
        <v>1</v>
      </c>
      <c r="P272" s="2" t="s">
        <v>45</v>
      </c>
      <c r="Q272" s="2" t="s">
        <v>107</v>
      </c>
      <c r="R272" s="7"/>
      <c r="S272">
        <f t="shared" si="4"/>
        <v>2</v>
      </c>
    </row>
    <row r="273" spans="1:19" x14ac:dyDescent="0.25">
      <c r="A273" s="3" t="s">
        <v>529</v>
      </c>
      <c r="B273" s="3" t="s">
        <v>530</v>
      </c>
      <c r="C273" s="3" t="s">
        <v>31</v>
      </c>
      <c r="D273" s="3" t="s">
        <v>32</v>
      </c>
      <c r="E273" s="3" t="s">
        <v>33</v>
      </c>
      <c r="F273" s="3" t="s">
        <v>34</v>
      </c>
      <c r="G273" s="3" t="s">
        <v>22</v>
      </c>
      <c r="H273" s="3" t="s">
        <v>80</v>
      </c>
      <c r="I273" s="3">
        <v>5.4</v>
      </c>
      <c r="J273" s="3">
        <v>4.0999999999999996</v>
      </c>
      <c r="K273" s="3" t="s">
        <v>24</v>
      </c>
      <c r="L273" s="3">
        <v>4</v>
      </c>
      <c r="M273" s="3" t="s">
        <v>25</v>
      </c>
      <c r="N273" s="3" t="s">
        <v>26</v>
      </c>
      <c r="O273" s="3">
        <v>0</v>
      </c>
      <c r="P273" s="3" t="s">
        <v>27</v>
      </c>
      <c r="Q273" s="3" t="s">
        <v>36</v>
      </c>
      <c r="R273" s="8"/>
      <c r="S273">
        <f t="shared" si="4"/>
        <v>4</v>
      </c>
    </row>
    <row r="274" spans="1:19" x14ac:dyDescent="0.25">
      <c r="A274" s="2" t="s">
        <v>531</v>
      </c>
      <c r="B274" s="2" t="s">
        <v>532</v>
      </c>
      <c r="C274" s="2" t="s">
        <v>18</v>
      </c>
      <c r="D274" s="2" t="s">
        <v>122</v>
      </c>
      <c r="E274" s="2" t="s">
        <v>20</v>
      </c>
      <c r="F274" s="2" t="s">
        <v>21</v>
      </c>
      <c r="G274" s="2" t="s">
        <v>22</v>
      </c>
      <c r="H274" s="2" t="s">
        <v>23</v>
      </c>
      <c r="I274" s="2">
        <v>4</v>
      </c>
      <c r="J274" s="2">
        <v>1.3</v>
      </c>
      <c r="K274" s="2" t="s">
        <v>26</v>
      </c>
      <c r="L274" s="2">
        <v>1</v>
      </c>
      <c r="M274" s="2" t="s">
        <v>59</v>
      </c>
      <c r="N274" s="2" t="s">
        <v>26</v>
      </c>
      <c r="O274" s="2">
        <v>0</v>
      </c>
      <c r="P274" s="2" t="s">
        <v>52</v>
      </c>
      <c r="Q274" s="2" t="s">
        <v>28</v>
      </c>
      <c r="R274" s="7"/>
      <c r="S274">
        <f t="shared" si="4"/>
        <v>1</v>
      </c>
    </row>
    <row r="275" spans="1:19" x14ac:dyDescent="0.25">
      <c r="A275" s="3" t="s">
        <v>533</v>
      </c>
      <c r="B275" s="3" t="s">
        <v>534</v>
      </c>
      <c r="C275" s="3" t="s">
        <v>70</v>
      </c>
      <c r="D275" s="3" t="s">
        <v>71</v>
      </c>
      <c r="E275" s="3" t="s">
        <v>33</v>
      </c>
      <c r="F275" s="3" t="s">
        <v>34</v>
      </c>
      <c r="G275" s="3" t="s">
        <v>43</v>
      </c>
      <c r="H275" s="3" t="s">
        <v>35</v>
      </c>
      <c r="I275" s="3">
        <v>9.9</v>
      </c>
      <c r="J275" s="3">
        <v>2.9</v>
      </c>
      <c r="K275" s="3" t="s">
        <v>24</v>
      </c>
      <c r="L275" s="3">
        <v>5</v>
      </c>
      <c r="M275" s="3" t="s">
        <v>25</v>
      </c>
      <c r="N275" s="3" t="s">
        <v>26</v>
      </c>
      <c r="O275" s="3">
        <v>1</v>
      </c>
      <c r="P275" s="3" t="s">
        <v>45</v>
      </c>
      <c r="Q275" s="3" t="s">
        <v>73</v>
      </c>
      <c r="R275" s="8"/>
      <c r="S275">
        <f t="shared" si="4"/>
        <v>5</v>
      </c>
    </row>
    <row r="276" spans="1:19" x14ac:dyDescent="0.25">
      <c r="A276" s="2" t="s">
        <v>535</v>
      </c>
      <c r="B276" s="2" t="s">
        <v>362</v>
      </c>
      <c r="C276" s="2" t="s">
        <v>70</v>
      </c>
      <c r="D276" s="2" t="s">
        <v>71</v>
      </c>
      <c r="E276" s="2" t="s">
        <v>33</v>
      </c>
      <c r="F276" s="2" t="s">
        <v>34</v>
      </c>
      <c r="G276" s="2" t="s">
        <v>43</v>
      </c>
      <c r="H276" s="2" t="s">
        <v>23</v>
      </c>
      <c r="I276" s="2">
        <v>12</v>
      </c>
      <c r="J276" s="2">
        <v>4.9000000000000004</v>
      </c>
      <c r="K276" s="2" t="s">
        <v>24</v>
      </c>
      <c r="L276" s="2">
        <v>5</v>
      </c>
      <c r="M276" s="2" t="s">
        <v>81</v>
      </c>
      <c r="N276" s="2" t="s">
        <v>26</v>
      </c>
      <c r="O276" s="2">
        <v>1</v>
      </c>
      <c r="P276" s="2" t="s">
        <v>45</v>
      </c>
      <c r="Q276" s="2" t="s">
        <v>73</v>
      </c>
      <c r="R276" s="7"/>
      <c r="S276">
        <f t="shared" si="4"/>
        <v>5</v>
      </c>
    </row>
    <row r="277" spans="1:19" x14ac:dyDescent="0.25">
      <c r="A277" s="3" t="s">
        <v>536</v>
      </c>
      <c r="B277" s="3" t="s">
        <v>414</v>
      </c>
      <c r="C277" s="3" t="s">
        <v>18</v>
      </c>
      <c r="D277" s="3" t="s">
        <v>19</v>
      </c>
      <c r="E277" s="3" t="s">
        <v>20</v>
      </c>
      <c r="F277" s="3" t="s">
        <v>21</v>
      </c>
      <c r="G277" s="3" t="s">
        <v>43</v>
      </c>
      <c r="H277" s="3" t="s">
        <v>58</v>
      </c>
      <c r="I277" s="3">
        <v>9.4</v>
      </c>
      <c r="J277" s="3">
        <v>5.0999999999999996</v>
      </c>
      <c r="K277" s="3" t="s">
        <v>24</v>
      </c>
      <c r="L277" s="3">
        <v>5</v>
      </c>
      <c r="M277" s="3" t="s">
        <v>59</v>
      </c>
      <c r="N277" s="3" t="s">
        <v>26</v>
      </c>
      <c r="O277" s="3">
        <v>0</v>
      </c>
      <c r="P277" s="3" t="s">
        <v>45</v>
      </c>
      <c r="Q277" s="3" t="s">
        <v>28</v>
      </c>
      <c r="R277" s="8"/>
      <c r="S277">
        <f t="shared" si="4"/>
        <v>5</v>
      </c>
    </row>
    <row r="278" spans="1:19" x14ac:dyDescent="0.25">
      <c r="A278" s="2" t="s">
        <v>537</v>
      </c>
      <c r="B278" s="2" t="s">
        <v>538</v>
      </c>
      <c r="C278" s="2" t="s">
        <v>70</v>
      </c>
      <c r="D278" s="2" t="s">
        <v>71</v>
      </c>
      <c r="E278" s="2" t="s">
        <v>33</v>
      </c>
      <c r="F278" s="2" t="s">
        <v>34</v>
      </c>
      <c r="G278" s="2" t="s">
        <v>43</v>
      </c>
      <c r="H278" s="2" t="s">
        <v>35</v>
      </c>
      <c r="I278" s="2">
        <v>5.9</v>
      </c>
      <c r="J278" s="2">
        <v>4.2</v>
      </c>
      <c r="K278" s="2" t="s">
        <v>26</v>
      </c>
      <c r="L278" s="2">
        <v>2</v>
      </c>
      <c r="M278" s="2" t="s">
        <v>81</v>
      </c>
      <c r="N278" s="2" t="s">
        <v>26</v>
      </c>
      <c r="O278" s="2">
        <v>0</v>
      </c>
      <c r="P278" s="2" t="s">
        <v>66</v>
      </c>
      <c r="Q278" s="2" t="s">
        <v>73</v>
      </c>
      <c r="R278" s="7"/>
      <c r="S278">
        <f t="shared" si="4"/>
        <v>2</v>
      </c>
    </row>
    <row r="279" spans="1:19" x14ac:dyDescent="0.25">
      <c r="A279" s="3" t="s">
        <v>539</v>
      </c>
      <c r="B279" s="3" t="s">
        <v>89</v>
      </c>
      <c r="C279" s="3" t="s">
        <v>70</v>
      </c>
      <c r="D279" s="3" t="s">
        <v>71</v>
      </c>
      <c r="E279" s="3" t="s">
        <v>33</v>
      </c>
      <c r="F279" s="3" t="s">
        <v>34</v>
      </c>
      <c r="G279" s="3" t="s">
        <v>43</v>
      </c>
      <c r="H279" s="3" t="s">
        <v>72</v>
      </c>
      <c r="I279" s="3">
        <v>5.2</v>
      </c>
      <c r="J279" s="3">
        <v>1.7</v>
      </c>
      <c r="K279" s="3" t="s">
        <v>26</v>
      </c>
      <c r="L279" s="3">
        <v>2</v>
      </c>
      <c r="M279" s="3" t="s">
        <v>81</v>
      </c>
      <c r="N279" s="3" t="s">
        <v>26</v>
      </c>
      <c r="O279" s="3">
        <v>0</v>
      </c>
      <c r="P279" s="3" t="s">
        <v>52</v>
      </c>
      <c r="Q279" s="3" t="s">
        <v>73</v>
      </c>
      <c r="R279" s="8"/>
      <c r="S279">
        <f t="shared" si="4"/>
        <v>2</v>
      </c>
    </row>
    <row r="280" spans="1:19" x14ac:dyDescent="0.25">
      <c r="A280" s="2" t="s">
        <v>540</v>
      </c>
      <c r="B280" s="2" t="s">
        <v>238</v>
      </c>
      <c r="C280" s="2" t="s">
        <v>56</v>
      </c>
      <c r="D280" s="2" t="s">
        <v>57</v>
      </c>
      <c r="E280" s="2" t="s">
        <v>41</v>
      </c>
      <c r="F280" s="2" t="s">
        <v>42</v>
      </c>
      <c r="G280" s="2" t="s">
        <v>22</v>
      </c>
      <c r="H280" s="2" t="s">
        <v>80</v>
      </c>
      <c r="I280" s="2">
        <v>5.7</v>
      </c>
      <c r="J280" s="2">
        <v>0.3</v>
      </c>
      <c r="K280" s="2" t="s">
        <v>26</v>
      </c>
      <c r="L280" s="2">
        <v>2</v>
      </c>
      <c r="M280" s="2" t="s">
        <v>59</v>
      </c>
      <c r="N280" s="2" t="s">
        <v>24</v>
      </c>
      <c r="O280" s="2">
        <v>0</v>
      </c>
      <c r="P280" s="2" t="s">
        <v>27</v>
      </c>
      <c r="Q280" s="2" t="s">
        <v>60</v>
      </c>
      <c r="R280" s="7"/>
      <c r="S280">
        <f t="shared" si="4"/>
        <v>2</v>
      </c>
    </row>
    <row r="281" spans="1:19" x14ac:dyDescent="0.25">
      <c r="A281" s="3" t="s">
        <v>541</v>
      </c>
      <c r="B281" s="3" t="s">
        <v>75</v>
      </c>
      <c r="C281" s="3" t="s">
        <v>70</v>
      </c>
      <c r="D281" s="3" t="s">
        <v>71</v>
      </c>
      <c r="E281" s="3" t="s">
        <v>33</v>
      </c>
      <c r="F281" s="3" t="s">
        <v>34</v>
      </c>
      <c r="G281" s="3" t="s">
        <v>43</v>
      </c>
      <c r="H281" s="3" t="s">
        <v>72</v>
      </c>
      <c r="I281" s="3">
        <v>8.1</v>
      </c>
      <c r="J281" s="3">
        <v>6.9</v>
      </c>
      <c r="K281" s="3" t="s">
        <v>26</v>
      </c>
      <c r="L281" s="3">
        <v>3</v>
      </c>
      <c r="M281" s="3" t="s">
        <v>59</v>
      </c>
      <c r="N281" s="3" t="s">
        <v>26</v>
      </c>
      <c r="O281" s="3">
        <v>0</v>
      </c>
      <c r="P281" s="3" t="s">
        <v>66</v>
      </c>
      <c r="Q281" s="3" t="s">
        <v>73</v>
      </c>
      <c r="R281" s="8"/>
      <c r="S281">
        <f t="shared" si="4"/>
        <v>3</v>
      </c>
    </row>
    <row r="282" spans="1:19" x14ac:dyDescent="0.25">
      <c r="A282" s="2" t="s">
        <v>542</v>
      </c>
      <c r="B282" s="2" t="s">
        <v>419</v>
      </c>
      <c r="C282" s="2" t="s">
        <v>105</v>
      </c>
      <c r="D282" s="2" t="s">
        <v>106</v>
      </c>
      <c r="E282" s="2" t="s">
        <v>20</v>
      </c>
      <c r="F282" s="2" t="s">
        <v>21</v>
      </c>
      <c r="G282" s="2" t="s">
        <v>43</v>
      </c>
      <c r="H282" s="2" t="s">
        <v>23</v>
      </c>
      <c r="I282" s="2"/>
      <c r="J282" s="2">
        <v>0.5</v>
      </c>
      <c r="K282" s="2" t="s">
        <v>26</v>
      </c>
      <c r="L282" s="2"/>
      <c r="M282" s="2" t="s">
        <v>90</v>
      </c>
      <c r="N282" s="2" t="s">
        <v>24</v>
      </c>
      <c r="O282" s="2">
        <v>3</v>
      </c>
      <c r="P282" s="2" t="s">
        <v>27</v>
      </c>
      <c r="Q282" s="2" t="s">
        <v>107</v>
      </c>
      <c r="R282" s="7"/>
      <c r="S282">
        <f t="shared" si="4"/>
        <v>0</v>
      </c>
    </row>
    <row r="283" spans="1:19" x14ac:dyDescent="0.25">
      <c r="A283" s="3" t="s">
        <v>543</v>
      </c>
      <c r="B283" s="3" t="s">
        <v>373</v>
      </c>
      <c r="C283" s="3" t="s">
        <v>70</v>
      </c>
      <c r="D283" s="3" t="s">
        <v>71</v>
      </c>
      <c r="E283" s="3" t="s">
        <v>33</v>
      </c>
      <c r="F283" s="3" t="s">
        <v>34</v>
      </c>
      <c r="G283" s="3" t="s">
        <v>43</v>
      </c>
      <c r="H283" s="3" t="s">
        <v>23</v>
      </c>
      <c r="I283" s="3">
        <v>3.7</v>
      </c>
      <c r="J283" s="3">
        <v>6.5</v>
      </c>
      <c r="K283" s="3" t="s">
        <v>24</v>
      </c>
      <c r="L283" s="3">
        <v>4</v>
      </c>
      <c r="M283" s="3" t="s">
        <v>51</v>
      </c>
      <c r="N283" s="3" t="s">
        <v>26</v>
      </c>
      <c r="O283" s="3">
        <v>0</v>
      </c>
      <c r="P283" s="3" t="s">
        <v>52</v>
      </c>
      <c r="Q283" s="3" t="s">
        <v>73</v>
      </c>
      <c r="R283" s="8"/>
      <c r="S283">
        <f t="shared" si="4"/>
        <v>4</v>
      </c>
    </row>
    <row r="284" spans="1:19" x14ac:dyDescent="0.25">
      <c r="A284" s="2" t="s">
        <v>544</v>
      </c>
      <c r="B284" s="2" t="s">
        <v>104</v>
      </c>
      <c r="C284" s="2" t="s">
        <v>105</v>
      </c>
      <c r="D284" s="2" t="s">
        <v>106</v>
      </c>
      <c r="E284" s="2" t="s">
        <v>20</v>
      </c>
      <c r="F284" s="2" t="s">
        <v>21</v>
      </c>
      <c r="G284" s="2" t="s">
        <v>22</v>
      </c>
      <c r="H284" s="2" t="s">
        <v>44</v>
      </c>
      <c r="I284" s="2">
        <v>7.9</v>
      </c>
      <c r="J284" s="2">
        <v>4.5999999999999996</v>
      </c>
      <c r="K284" s="2" t="s">
        <v>26</v>
      </c>
      <c r="L284" s="2">
        <v>2</v>
      </c>
      <c r="M284" s="2" t="s">
        <v>59</v>
      </c>
      <c r="N284" s="2" t="s">
        <v>26</v>
      </c>
      <c r="O284" s="2">
        <v>1</v>
      </c>
      <c r="P284" s="2" t="s">
        <v>27</v>
      </c>
      <c r="Q284" s="2" t="s">
        <v>107</v>
      </c>
      <c r="R284" s="7"/>
      <c r="S284">
        <f t="shared" si="4"/>
        <v>2</v>
      </c>
    </row>
    <row r="285" spans="1:19" x14ac:dyDescent="0.25">
      <c r="A285" s="3" t="s">
        <v>545</v>
      </c>
      <c r="B285" s="3" t="s">
        <v>334</v>
      </c>
      <c r="C285" s="3" t="s">
        <v>85</v>
      </c>
      <c r="D285" s="3" t="s">
        <v>86</v>
      </c>
      <c r="E285" s="3" t="s">
        <v>20</v>
      </c>
      <c r="F285" s="3" t="s">
        <v>21</v>
      </c>
      <c r="G285" s="3" t="s">
        <v>41</v>
      </c>
      <c r="H285" s="3" t="s">
        <v>80</v>
      </c>
      <c r="I285" s="3">
        <v>6.3</v>
      </c>
      <c r="J285" s="3">
        <v>3.7</v>
      </c>
      <c r="K285" s="3" t="s">
        <v>26</v>
      </c>
      <c r="L285" s="3">
        <v>2</v>
      </c>
      <c r="M285" s="3" t="s">
        <v>59</v>
      </c>
      <c r="N285" s="3" t="s">
        <v>24</v>
      </c>
      <c r="O285" s="3">
        <v>1</v>
      </c>
      <c r="P285" s="3" t="s">
        <v>13</v>
      </c>
      <c r="Q285" s="3" t="s">
        <v>87</v>
      </c>
      <c r="R285" s="8"/>
      <c r="S285">
        <f t="shared" si="4"/>
        <v>2</v>
      </c>
    </row>
    <row r="286" spans="1:19" x14ac:dyDescent="0.25">
      <c r="A286" s="2" t="s">
        <v>546</v>
      </c>
      <c r="B286" s="2" t="s">
        <v>220</v>
      </c>
      <c r="C286" s="2" t="s">
        <v>18</v>
      </c>
      <c r="D286" s="2" t="s">
        <v>122</v>
      </c>
      <c r="E286" s="2" t="s">
        <v>20</v>
      </c>
      <c r="F286" s="2" t="s">
        <v>21</v>
      </c>
      <c r="G286" s="2" t="s">
        <v>43</v>
      </c>
      <c r="H286" s="2" t="s">
        <v>58</v>
      </c>
      <c r="I286" s="2">
        <v>6.8</v>
      </c>
      <c r="J286" s="2">
        <v>6</v>
      </c>
      <c r="K286" s="2" t="s">
        <v>24</v>
      </c>
      <c r="L286" s="2">
        <v>5</v>
      </c>
      <c r="M286" s="2" t="s">
        <v>59</v>
      </c>
      <c r="N286" s="2" t="s">
        <v>26</v>
      </c>
      <c r="O286" s="2">
        <v>0</v>
      </c>
      <c r="P286" s="2" t="s">
        <v>45</v>
      </c>
      <c r="Q286" s="2" t="s">
        <v>28</v>
      </c>
      <c r="R286" s="7"/>
      <c r="S286">
        <f t="shared" si="4"/>
        <v>5</v>
      </c>
    </row>
    <row r="287" spans="1:19" x14ac:dyDescent="0.25">
      <c r="A287" s="3" t="s">
        <v>547</v>
      </c>
      <c r="B287" s="3" t="s">
        <v>147</v>
      </c>
      <c r="C287" s="3" t="s">
        <v>63</v>
      </c>
      <c r="D287" s="3" t="s">
        <v>64</v>
      </c>
      <c r="E287" s="3" t="s">
        <v>33</v>
      </c>
      <c r="F287" s="3" t="s">
        <v>34</v>
      </c>
      <c r="G287" s="3" t="s">
        <v>43</v>
      </c>
      <c r="H287" s="3" t="s">
        <v>65</v>
      </c>
      <c r="I287" s="3">
        <v>7.2</v>
      </c>
      <c r="J287" s="3">
        <v>3.6</v>
      </c>
      <c r="K287" s="3" t="s">
        <v>24</v>
      </c>
      <c r="L287" s="3">
        <v>5</v>
      </c>
      <c r="M287" s="3" t="s">
        <v>25</v>
      </c>
      <c r="N287" s="3" t="s">
        <v>26</v>
      </c>
      <c r="O287" s="3">
        <v>0</v>
      </c>
      <c r="P287" s="3" t="s">
        <v>45</v>
      </c>
      <c r="Q287" s="3" t="s">
        <v>67</v>
      </c>
      <c r="R287" s="8"/>
      <c r="S287">
        <f t="shared" si="4"/>
        <v>5</v>
      </c>
    </row>
    <row r="288" spans="1:19" x14ac:dyDescent="0.25">
      <c r="A288" s="2" t="s">
        <v>548</v>
      </c>
      <c r="B288" s="2" t="s">
        <v>549</v>
      </c>
      <c r="C288" s="2" t="s">
        <v>63</v>
      </c>
      <c r="D288" s="2" t="s">
        <v>64</v>
      </c>
      <c r="E288" s="2" t="s">
        <v>33</v>
      </c>
      <c r="F288" s="2" t="s">
        <v>34</v>
      </c>
      <c r="G288" s="2" t="s">
        <v>43</v>
      </c>
      <c r="H288" s="2" t="s">
        <v>65</v>
      </c>
      <c r="I288" s="2">
        <v>11.5</v>
      </c>
      <c r="J288" s="2">
        <v>3.3</v>
      </c>
      <c r="K288" s="2" t="s">
        <v>24</v>
      </c>
      <c r="L288" s="2">
        <v>5</v>
      </c>
      <c r="M288" s="2" t="s">
        <v>90</v>
      </c>
      <c r="N288" s="2" t="s">
        <v>26</v>
      </c>
      <c r="O288" s="2">
        <v>1</v>
      </c>
      <c r="P288" s="2" t="s">
        <v>13</v>
      </c>
      <c r="Q288" s="2" t="s">
        <v>67</v>
      </c>
      <c r="R288" s="7"/>
      <c r="S288">
        <f t="shared" si="4"/>
        <v>5</v>
      </c>
    </row>
    <row r="289" spans="1:19" x14ac:dyDescent="0.25">
      <c r="A289" s="3" t="s">
        <v>550</v>
      </c>
      <c r="B289" s="3" t="s">
        <v>551</v>
      </c>
      <c r="C289" s="3" t="s">
        <v>105</v>
      </c>
      <c r="D289" s="3" t="s">
        <v>106</v>
      </c>
      <c r="E289" s="3" t="s">
        <v>20</v>
      </c>
      <c r="F289" s="3" t="s">
        <v>21</v>
      </c>
      <c r="G289" s="3" t="s">
        <v>43</v>
      </c>
      <c r="H289" s="3" t="s">
        <v>95</v>
      </c>
      <c r="I289" s="3">
        <v>6.4</v>
      </c>
      <c r="J289" s="3">
        <v>5.8</v>
      </c>
      <c r="K289" s="3" t="s">
        <v>24</v>
      </c>
      <c r="L289" s="3">
        <v>4</v>
      </c>
      <c r="M289" s="3" t="s">
        <v>59</v>
      </c>
      <c r="N289" s="3" t="s">
        <v>26</v>
      </c>
      <c r="O289" s="3">
        <v>1</v>
      </c>
      <c r="P289" s="3" t="s">
        <v>27</v>
      </c>
      <c r="Q289" s="3" t="s">
        <v>107</v>
      </c>
      <c r="R289" s="8"/>
      <c r="S289">
        <f t="shared" si="4"/>
        <v>4</v>
      </c>
    </row>
    <row r="290" spans="1:19" x14ac:dyDescent="0.25">
      <c r="A290" s="2" t="s">
        <v>552</v>
      </c>
      <c r="B290" s="2" t="s">
        <v>149</v>
      </c>
      <c r="C290" s="2" t="s">
        <v>49</v>
      </c>
      <c r="D290" s="2" t="s">
        <v>50</v>
      </c>
      <c r="E290" s="2" t="s">
        <v>41</v>
      </c>
      <c r="F290" s="2" t="s">
        <v>42</v>
      </c>
      <c r="G290" s="2" t="s">
        <v>41</v>
      </c>
      <c r="H290" s="2" t="s">
        <v>58</v>
      </c>
      <c r="I290" s="2">
        <v>13.6</v>
      </c>
      <c r="J290" s="2">
        <v>5.4</v>
      </c>
      <c r="K290" s="2" t="s">
        <v>24</v>
      </c>
      <c r="L290" s="2">
        <v>3</v>
      </c>
      <c r="M290" s="2" t="s">
        <v>81</v>
      </c>
      <c r="N290" s="2" t="s">
        <v>26</v>
      </c>
      <c r="O290" s="2">
        <v>1</v>
      </c>
      <c r="P290" s="2" t="s">
        <v>45</v>
      </c>
      <c r="Q290" s="2" t="s">
        <v>53</v>
      </c>
      <c r="R290" s="7"/>
      <c r="S290">
        <f t="shared" si="4"/>
        <v>3</v>
      </c>
    </row>
    <row r="291" spans="1:19" x14ac:dyDescent="0.25">
      <c r="A291" s="3" t="s">
        <v>553</v>
      </c>
      <c r="B291" s="3" t="s">
        <v>121</v>
      </c>
      <c r="C291" s="3" t="s">
        <v>105</v>
      </c>
      <c r="D291" s="3" t="s">
        <v>106</v>
      </c>
      <c r="E291" s="3" t="s">
        <v>20</v>
      </c>
      <c r="F291" s="3" t="s">
        <v>21</v>
      </c>
      <c r="G291" s="3" t="s">
        <v>43</v>
      </c>
      <c r="H291" s="3" t="s">
        <v>44</v>
      </c>
      <c r="I291" s="3">
        <v>13.8</v>
      </c>
      <c r="J291" s="3">
        <v>5.0999999999999996</v>
      </c>
      <c r="K291" s="3" t="s">
        <v>26</v>
      </c>
      <c r="L291" s="3">
        <v>3</v>
      </c>
      <c r="M291" s="3" t="s">
        <v>81</v>
      </c>
      <c r="N291" s="3" t="s">
        <v>24</v>
      </c>
      <c r="O291" s="3">
        <v>1</v>
      </c>
      <c r="P291" s="3" t="s">
        <v>13</v>
      </c>
      <c r="Q291" s="3" t="s">
        <v>107</v>
      </c>
      <c r="R291" s="8"/>
      <c r="S291">
        <f t="shared" si="4"/>
        <v>3</v>
      </c>
    </row>
    <row r="292" spans="1:19" x14ac:dyDescent="0.25">
      <c r="A292" s="2" t="s">
        <v>554</v>
      </c>
      <c r="B292" s="2" t="s">
        <v>555</v>
      </c>
      <c r="C292" s="2" t="s">
        <v>31</v>
      </c>
      <c r="D292" s="2" t="s">
        <v>32</v>
      </c>
      <c r="E292" s="2" t="s">
        <v>33</v>
      </c>
      <c r="F292" s="2" t="s">
        <v>34</v>
      </c>
      <c r="G292" s="2" t="s">
        <v>41</v>
      </c>
      <c r="H292" s="2" t="s">
        <v>23</v>
      </c>
      <c r="I292" s="2">
        <v>3.9</v>
      </c>
      <c r="J292" s="2">
        <v>5.6</v>
      </c>
      <c r="K292" s="2" t="s">
        <v>24</v>
      </c>
      <c r="L292" s="2">
        <v>3</v>
      </c>
      <c r="M292" s="2" t="s">
        <v>81</v>
      </c>
      <c r="N292" s="2" t="s">
        <v>26</v>
      </c>
      <c r="O292" s="2">
        <v>1</v>
      </c>
      <c r="P292" s="2" t="s">
        <v>45</v>
      </c>
      <c r="Q292" s="2" t="s">
        <v>36</v>
      </c>
      <c r="R292" s="7"/>
      <c r="S292">
        <f t="shared" si="4"/>
        <v>3</v>
      </c>
    </row>
    <row r="293" spans="1:19" x14ac:dyDescent="0.25">
      <c r="A293" s="3" t="s">
        <v>556</v>
      </c>
      <c r="B293" s="3" t="s">
        <v>557</v>
      </c>
      <c r="C293" s="3" t="s">
        <v>85</v>
      </c>
      <c r="D293" s="3" t="s">
        <v>86</v>
      </c>
      <c r="E293" s="3" t="s">
        <v>20</v>
      </c>
      <c r="F293" s="3" t="s">
        <v>21</v>
      </c>
      <c r="G293" s="3" t="s">
        <v>43</v>
      </c>
      <c r="H293" s="3" t="s">
        <v>58</v>
      </c>
      <c r="I293" s="3">
        <v>15.4</v>
      </c>
      <c r="J293" s="3">
        <v>3.4</v>
      </c>
      <c r="K293" s="3" t="s">
        <v>26</v>
      </c>
      <c r="L293" s="3">
        <v>2</v>
      </c>
      <c r="M293" s="3" t="s">
        <v>51</v>
      </c>
      <c r="N293" s="3" t="s">
        <v>26</v>
      </c>
      <c r="O293" s="3">
        <v>1</v>
      </c>
      <c r="P293" s="3" t="s">
        <v>66</v>
      </c>
      <c r="Q293" s="3" t="s">
        <v>87</v>
      </c>
      <c r="R293" s="8"/>
      <c r="S293">
        <f t="shared" si="4"/>
        <v>2</v>
      </c>
    </row>
    <row r="294" spans="1:19" x14ac:dyDescent="0.25">
      <c r="A294" s="2" t="s">
        <v>558</v>
      </c>
      <c r="B294" s="2" t="s">
        <v>559</v>
      </c>
      <c r="C294" s="2" t="s">
        <v>105</v>
      </c>
      <c r="D294" s="2" t="s">
        <v>106</v>
      </c>
      <c r="E294" s="2" t="s">
        <v>20</v>
      </c>
      <c r="F294" s="2" t="s">
        <v>21</v>
      </c>
      <c r="G294" s="2" t="s">
        <v>43</v>
      </c>
      <c r="H294" s="2" t="s">
        <v>95</v>
      </c>
      <c r="I294" s="2">
        <v>6.3</v>
      </c>
      <c r="J294" s="2">
        <v>5.2</v>
      </c>
      <c r="K294" s="2" t="s">
        <v>24</v>
      </c>
      <c r="L294" s="2">
        <v>5</v>
      </c>
      <c r="M294" s="2" t="s">
        <v>81</v>
      </c>
      <c r="N294" s="2" t="s">
        <v>26</v>
      </c>
      <c r="O294" s="2">
        <v>0</v>
      </c>
      <c r="P294" s="2" t="s">
        <v>52</v>
      </c>
      <c r="Q294" s="2" t="s">
        <v>107</v>
      </c>
      <c r="R294" s="7"/>
      <c r="S294">
        <f t="shared" si="4"/>
        <v>5</v>
      </c>
    </row>
    <row r="295" spans="1:19" x14ac:dyDescent="0.25">
      <c r="A295" s="3" t="s">
        <v>560</v>
      </c>
      <c r="B295" s="3" t="s">
        <v>561</v>
      </c>
      <c r="C295" s="3" t="s">
        <v>31</v>
      </c>
      <c r="D295" s="3" t="s">
        <v>32</v>
      </c>
      <c r="E295" s="3" t="s">
        <v>33</v>
      </c>
      <c r="F295" s="3" t="s">
        <v>34</v>
      </c>
      <c r="G295" s="3" t="s">
        <v>43</v>
      </c>
      <c r="H295" s="3" t="s">
        <v>44</v>
      </c>
      <c r="I295" s="3">
        <v>12.1</v>
      </c>
      <c r="J295" s="3">
        <v>7.8</v>
      </c>
      <c r="K295" s="3" t="s">
        <v>26</v>
      </c>
      <c r="L295" s="3">
        <v>1</v>
      </c>
      <c r="M295" s="3" t="s">
        <v>90</v>
      </c>
      <c r="N295" s="3" t="s">
        <v>26</v>
      </c>
      <c r="O295" s="3">
        <v>0</v>
      </c>
      <c r="P295" s="3" t="s">
        <v>66</v>
      </c>
      <c r="Q295" s="3" t="s">
        <v>36</v>
      </c>
      <c r="R295" s="8"/>
      <c r="S295">
        <f t="shared" si="4"/>
        <v>1</v>
      </c>
    </row>
    <row r="296" spans="1:19" x14ac:dyDescent="0.25">
      <c r="A296" s="2" t="s">
        <v>562</v>
      </c>
      <c r="B296" s="2" t="s">
        <v>563</v>
      </c>
      <c r="C296" s="2" t="s">
        <v>31</v>
      </c>
      <c r="D296" s="2" t="s">
        <v>32</v>
      </c>
      <c r="E296" s="2" t="s">
        <v>33</v>
      </c>
      <c r="F296" s="2" t="s">
        <v>34</v>
      </c>
      <c r="G296" s="2" t="s">
        <v>43</v>
      </c>
      <c r="H296" s="2" t="s">
        <v>58</v>
      </c>
      <c r="I296" s="2">
        <v>5.8</v>
      </c>
      <c r="J296" s="2">
        <v>3.7</v>
      </c>
      <c r="K296" s="2" t="s">
        <v>24</v>
      </c>
      <c r="L296" s="2">
        <v>4</v>
      </c>
      <c r="M296" s="2" t="s">
        <v>25</v>
      </c>
      <c r="N296" s="2" t="s">
        <v>26</v>
      </c>
      <c r="O296" s="2">
        <v>0</v>
      </c>
      <c r="P296" s="2" t="s">
        <v>13</v>
      </c>
      <c r="Q296" s="2" t="s">
        <v>36</v>
      </c>
      <c r="R296" s="7"/>
      <c r="S296">
        <f t="shared" si="4"/>
        <v>4</v>
      </c>
    </row>
    <row r="297" spans="1:19" x14ac:dyDescent="0.25">
      <c r="A297" s="3" t="s">
        <v>564</v>
      </c>
      <c r="B297" s="3" t="s">
        <v>565</v>
      </c>
      <c r="C297" s="3" t="s">
        <v>85</v>
      </c>
      <c r="D297" s="3" t="s">
        <v>86</v>
      </c>
      <c r="E297" s="3" t="s">
        <v>20</v>
      </c>
      <c r="F297" s="3" t="s">
        <v>21</v>
      </c>
      <c r="G297" s="3" t="s">
        <v>43</v>
      </c>
      <c r="H297" s="3" t="s">
        <v>65</v>
      </c>
      <c r="I297" s="3">
        <v>2.6</v>
      </c>
      <c r="J297" s="3">
        <v>6.2</v>
      </c>
      <c r="K297" s="3" t="s">
        <v>24</v>
      </c>
      <c r="L297" s="3">
        <v>4</v>
      </c>
      <c r="M297" s="3" t="s">
        <v>59</v>
      </c>
      <c r="N297" s="3" t="s">
        <v>26</v>
      </c>
      <c r="O297" s="3">
        <v>0</v>
      </c>
      <c r="P297" s="3" t="s">
        <v>27</v>
      </c>
      <c r="Q297" s="3" t="s">
        <v>87</v>
      </c>
      <c r="R297" s="8"/>
      <c r="S297">
        <f t="shared" si="4"/>
        <v>4</v>
      </c>
    </row>
    <row r="298" spans="1:19" x14ac:dyDescent="0.25">
      <c r="A298" s="2" t="s">
        <v>566</v>
      </c>
      <c r="B298" s="2" t="s">
        <v>359</v>
      </c>
      <c r="C298" s="2" t="s">
        <v>56</v>
      </c>
      <c r="D298" s="2" t="s">
        <v>57</v>
      </c>
      <c r="E298" s="2" t="s">
        <v>41</v>
      </c>
      <c r="F298" s="2" t="s">
        <v>42</v>
      </c>
      <c r="G298" s="2" t="s">
        <v>43</v>
      </c>
      <c r="H298" s="2" t="s">
        <v>80</v>
      </c>
      <c r="I298" s="2">
        <v>5.0999999999999996</v>
      </c>
      <c r="J298" s="2">
        <v>3.1</v>
      </c>
      <c r="K298" s="2" t="s">
        <v>24</v>
      </c>
      <c r="L298" s="2">
        <v>5</v>
      </c>
      <c r="M298" s="2" t="s">
        <v>59</v>
      </c>
      <c r="N298" s="2" t="s">
        <v>26</v>
      </c>
      <c r="O298" s="2">
        <v>0</v>
      </c>
      <c r="P298" s="2" t="s">
        <v>66</v>
      </c>
      <c r="Q298" s="2" t="s">
        <v>60</v>
      </c>
      <c r="R298" s="7"/>
      <c r="S298">
        <f t="shared" si="4"/>
        <v>5</v>
      </c>
    </row>
    <row r="299" spans="1:19" x14ac:dyDescent="0.25">
      <c r="A299" s="3" t="s">
        <v>567</v>
      </c>
      <c r="B299" s="3" t="s">
        <v>267</v>
      </c>
      <c r="C299" s="3" t="s">
        <v>49</v>
      </c>
      <c r="D299" s="3" t="s">
        <v>50</v>
      </c>
      <c r="E299" s="3" t="s">
        <v>41</v>
      </c>
      <c r="F299" s="3" t="s">
        <v>42</v>
      </c>
      <c r="G299" s="3" t="s">
        <v>43</v>
      </c>
      <c r="H299" s="3" t="s">
        <v>65</v>
      </c>
      <c r="I299" s="3">
        <v>7</v>
      </c>
      <c r="J299" s="3">
        <v>5.4</v>
      </c>
      <c r="K299" s="3" t="s">
        <v>26</v>
      </c>
      <c r="L299" s="3">
        <v>2</v>
      </c>
      <c r="M299" s="3" t="s">
        <v>59</v>
      </c>
      <c r="N299" s="3" t="s">
        <v>24</v>
      </c>
      <c r="O299" s="3">
        <v>0</v>
      </c>
      <c r="P299" s="3" t="s">
        <v>13</v>
      </c>
      <c r="Q299" s="3" t="s">
        <v>53</v>
      </c>
      <c r="R299" s="8"/>
      <c r="S299">
        <f t="shared" si="4"/>
        <v>2</v>
      </c>
    </row>
    <row r="300" spans="1:19" x14ac:dyDescent="0.25">
      <c r="A300" s="2" t="s">
        <v>568</v>
      </c>
      <c r="B300" s="2" t="s">
        <v>569</v>
      </c>
      <c r="C300" s="2" t="s">
        <v>49</v>
      </c>
      <c r="D300" s="2" t="s">
        <v>50</v>
      </c>
      <c r="E300" s="2" t="s">
        <v>41</v>
      </c>
      <c r="F300" s="2" t="s">
        <v>42</v>
      </c>
      <c r="G300" s="2" t="s">
        <v>43</v>
      </c>
      <c r="H300" s="2" t="s">
        <v>95</v>
      </c>
      <c r="I300" s="2">
        <v>4.9000000000000004</v>
      </c>
      <c r="J300" s="2">
        <v>5.4</v>
      </c>
      <c r="K300" s="2" t="s">
        <v>24</v>
      </c>
      <c r="L300" s="2">
        <v>5</v>
      </c>
      <c r="M300" s="2" t="s">
        <v>90</v>
      </c>
      <c r="N300" s="2" t="s">
        <v>26</v>
      </c>
      <c r="O300" s="2">
        <v>0</v>
      </c>
      <c r="P300" s="2" t="s">
        <v>52</v>
      </c>
      <c r="Q300" s="2" t="s">
        <v>53</v>
      </c>
      <c r="R300" s="7"/>
      <c r="S300">
        <f t="shared" si="4"/>
        <v>5</v>
      </c>
    </row>
    <row r="301" spans="1:19" x14ac:dyDescent="0.25">
      <c r="A301" s="3" t="s">
        <v>570</v>
      </c>
      <c r="B301" s="3" t="s">
        <v>571</v>
      </c>
      <c r="C301" s="3" t="s">
        <v>18</v>
      </c>
      <c r="D301" s="3" t="s">
        <v>122</v>
      </c>
      <c r="E301" s="3" t="s">
        <v>20</v>
      </c>
      <c r="F301" s="3" t="s">
        <v>21</v>
      </c>
      <c r="G301" s="3" t="s">
        <v>43</v>
      </c>
      <c r="H301" s="3" t="s">
        <v>65</v>
      </c>
      <c r="I301" s="3">
        <v>10.5</v>
      </c>
      <c r="J301" s="3">
        <v>6.5</v>
      </c>
      <c r="K301" s="3" t="s">
        <v>24</v>
      </c>
      <c r="L301" s="3">
        <v>5</v>
      </c>
      <c r="M301" s="3" t="s">
        <v>25</v>
      </c>
      <c r="N301" s="3" t="s">
        <v>26</v>
      </c>
      <c r="O301" s="3">
        <v>0</v>
      </c>
      <c r="P301" s="3" t="s">
        <v>13</v>
      </c>
      <c r="Q301" s="3" t="s">
        <v>28</v>
      </c>
      <c r="R301" s="8"/>
      <c r="S301">
        <f t="shared" si="4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1"/>
  <sheetViews>
    <sheetView topLeftCell="I272" zoomScale="70" zoomScaleNormal="70" workbookViewId="0">
      <selection sqref="A1:W301"/>
    </sheetView>
  </sheetViews>
  <sheetFormatPr defaultRowHeight="15" x14ac:dyDescent="0.25"/>
  <cols>
    <col min="2" max="2" width="13.28515625" bestFit="1" customWidth="1"/>
    <col min="4" max="4" width="17" bestFit="1" customWidth="1"/>
    <col min="5" max="5" width="8.7109375" bestFit="1" customWidth="1"/>
    <col min="6" max="6" width="14.140625" bestFit="1" customWidth="1"/>
    <col min="7" max="7" width="13.42578125" bestFit="1" customWidth="1"/>
    <col min="8" max="8" width="14.85546875" bestFit="1" customWidth="1"/>
    <col min="9" max="9" width="17.5703125" bestFit="1" customWidth="1"/>
    <col min="10" max="10" width="15.140625" bestFit="1" customWidth="1"/>
    <col min="11" max="11" width="9.7109375" bestFit="1" customWidth="1"/>
    <col min="12" max="12" width="12.28515625" bestFit="1" customWidth="1"/>
    <col min="13" max="13" width="11.5703125" bestFit="1" customWidth="1"/>
    <col min="14" max="14" width="9.7109375" bestFit="1" customWidth="1"/>
    <col min="15" max="15" width="9.28515625" bestFit="1" customWidth="1"/>
    <col min="16" max="16" width="14.7109375" bestFit="1" customWidth="1"/>
    <col min="17" max="17" width="20.28515625" bestFit="1" customWidth="1"/>
    <col min="18" max="19" width="20.28515625" customWidth="1"/>
    <col min="20" max="23" width="11.5703125" customWidth="1"/>
    <col min="24" max="24" width="12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572</v>
      </c>
      <c r="S1" s="6" t="s">
        <v>573</v>
      </c>
      <c r="T1" s="6" t="s">
        <v>574</v>
      </c>
      <c r="U1" s="6" t="s">
        <v>575</v>
      </c>
      <c r="V1" s="6" t="s">
        <v>576</v>
      </c>
      <c r="W1" s="6" t="s">
        <v>577</v>
      </c>
      <c r="X1" s="6"/>
    </row>
    <row r="2" spans="1:24" x14ac:dyDescent="0.25">
      <c r="A2" s="2" t="s">
        <v>17</v>
      </c>
      <c r="B2" s="2" t="str">
        <f>IFERROR(IF('RAW DATA'!B2="","Missing",TEXT('RAW DATA'!B2,"YYYY-MM-DAY")),0)</f>
        <v>Missing</v>
      </c>
      <c r="C2" s="2" t="s">
        <v>18</v>
      </c>
      <c r="D2" s="2" t="str">
        <f>PROPER('RAW DATA'!D2)</f>
        <v>Bob Nshimiyimana</v>
      </c>
      <c r="E2" s="2" t="s">
        <v>20</v>
      </c>
      <c r="F2" s="2" t="s">
        <v>21</v>
      </c>
      <c r="G2" s="2" t="s">
        <v>22</v>
      </c>
      <c r="H2" s="2" t="s">
        <v>23</v>
      </c>
      <c r="I2" s="4">
        <f>IFERROR(IF('RAW DATA'!I2="",AVERAGE('RAW DATA'!I$2:I$301),'RAW DATA'!I2),0)</f>
        <v>7.6041237113402103</v>
      </c>
      <c r="J2" s="2">
        <v>4.3</v>
      </c>
      <c r="K2" s="2" t="s">
        <v>24</v>
      </c>
      <c r="L2" s="2">
        <f>IFERROR(IF('RAW DATA'!L2="",3,'RAW DATA'!L2),3)</f>
        <v>3</v>
      </c>
      <c r="M2" s="2" t="s">
        <v>25</v>
      </c>
      <c r="N2" s="2" t="s">
        <v>26</v>
      </c>
      <c r="O2" s="2">
        <v>0</v>
      </c>
      <c r="P2" s="2" t="s">
        <v>27</v>
      </c>
      <c r="Q2" s="9" t="s">
        <v>28</v>
      </c>
      <c r="R2" s="11" t="str">
        <f>IFERROR(TEXT('RAW DATA'!B2,"MMMM"),"UKNNOWN")</f>
        <v>January</v>
      </c>
      <c r="S2" s="7">
        <f>IFERROR(MONTH('RAW DATA'!B2),0)</f>
        <v>1</v>
      </c>
      <c r="T2" s="7" t="str">
        <f>IF(S2&lt;=3,"Q1",IF(S2&lt;=6,"Q2",IF(S2&lt;=9,"Q3","Q4")))</f>
        <v>Q1</v>
      </c>
      <c r="U2" s="7" t="str">
        <f>IF('RAW DATA'!I2&gt;20,"High",IF('RAW DATA'!I2&gt;10,"Medium","Low"))</f>
        <v>Low</v>
      </c>
      <c r="V2" s="7" t="str">
        <f>IF('RAW DATA'!B2="","Yes","No")</f>
        <v>Yes</v>
      </c>
      <c r="W2" s="2" t="str">
        <f>IF(COUNTIF(A$2:A301,A2)&gt;1,"Duplicate","OK")</f>
        <v>OK</v>
      </c>
      <c r="X2">
        <f>IFERROR(L2,L3)</f>
        <v>3</v>
      </c>
    </row>
    <row r="3" spans="1:24" x14ac:dyDescent="0.25">
      <c r="A3" s="3" t="s">
        <v>29</v>
      </c>
      <c r="B3" s="2" t="str">
        <f>IFERROR(IF('RAW DATA'!B3="","Missing",TEXT('RAW DATA'!B3,"YYYY-MM-DAY")),0)</f>
        <v>2024-02-17A24</v>
      </c>
      <c r="C3" s="3" t="s">
        <v>31</v>
      </c>
      <c r="D3" s="2" t="str">
        <f>PROPER('RAW DATA'!D3)</f>
        <v>David Habimana</v>
      </c>
      <c r="E3" s="3" t="s">
        <v>33</v>
      </c>
      <c r="F3" s="3" t="s">
        <v>34</v>
      </c>
      <c r="G3" s="3" t="s">
        <v>22</v>
      </c>
      <c r="H3" s="3" t="s">
        <v>35</v>
      </c>
      <c r="I3" s="5">
        <f>IFERROR(IF('RAW DATA'!I3="",AVERAGE('RAW DATA'!I$2:I$301),'RAW DATA'!I3),0)</f>
        <v>8.4</v>
      </c>
      <c r="J3" s="3">
        <v>6.7</v>
      </c>
      <c r="K3" s="3" t="s">
        <v>24</v>
      </c>
      <c r="L3" s="2">
        <f>IFERROR(IF('RAW DATA'!L3="",3,'RAW DATA'!L3),3)</f>
        <v>4</v>
      </c>
      <c r="M3" s="3" t="s">
        <v>25</v>
      </c>
      <c r="N3" s="3" t="s">
        <v>26</v>
      </c>
      <c r="O3" s="3">
        <v>1</v>
      </c>
      <c r="P3" s="3" t="s">
        <v>13</v>
      </c>
      <c r="Q3" s="10" t="s">
        <v>36</v>
      </c>
      <c r="R3" s="2" t="str">
        <f>IFERROR(TEXT('RAW DATA'!B3,"MMMM"),"UKNNOWN")</f>
        <v>February</v>
      </c>
      <c r="S3" s="2">
        <f>IFERROR(MONTH('RAW DATA'!B3),0)</f>
        <v>2</v>
      </c>
      <c r="T3" s="3" t="str">
        <f t="shared" ref="T3:T66" si="0">IF(S3&lt;=3,"Q1",IF(S3&lt;=6,"Q2",IF(S3&lt;=9,"Q3","Q4")))</f>
        <v>Q1</v>
      </c>
      <c r="U3" s="3" t="str">
        <f>IF('RAW DATA'!I3&gt;20,"High",IF('RAW DATA'!I3&gt;10,"Medium","Low"))</f>
        <v>Low</v>
      </c>
      <c r="V3" s="3" t="str">
        <f>IF('RAW DATA'!B3="","Yes","No")</f>
        <v>No</v>
      </c>
      <c r="W3" s="2" t="str">
        <f>IF(COUNTIF(A$2:A302,A3)&gt;1,"Duplicate","OK")</f>
        <v>OK</v>
      </c>
      <c r="X3">
        <f t="shared" ref="X3:X66" si="1">IFERROR(L3,L4)</f>
        <v>4</v>
      </c>
    </row>
    <row r="4" spans="1:24" x14ac:dyDescent="0.25">
      <c r="A4" s="2" t="s">
        <v>37</v>
      </c>
      <c r="B4" s="2" t="str">
        <f>IFERROR(IF('RAW DATA'!B4="","Missing",TEXT('RAW DATA'!B4,"YYYY-MM-DAY")),"INVALID DATE")</f>
        <v>2024-03-22A24</v>
      </c>
      <c r="C4" s="2" t="s">
        <v>39</v>
      </c>
      <c r="D4" s="2" t="str">
        <f>PROPER('RAW DATA'!D4)</f>
        <v>Grace Uwase</v>
      </c>
      <c r="E4" s="2" t="s">
        <v>41</v>
      </c>
      <c r="F4" s="2" t="s">
        <v>42</v>
      </c>
      <c r="G4" s="2" t="s">
        <v>43</v>
      </c>
      <c r="H4" s="2" t="s">
        <v>44</v>
      </c>
      <c r="I4" s="5">
        <f>IFERROR(IF('RAW DATA'!I4="",AVERAGE('RAW DATA'!I$2:I$301),'RAW DATA'!I4),0)</f>
        <v>7.1</v>
      </c>
      <c r="J4" s="2">
        <v>5</v>
      </c>
      <c r="K4" s="2" t="s">
        <v>24</v>
      </c>
      <c r="L4" s="2">
        <f>IFERROR(IF('RAW DATA'!L4="",3,'RAW DATA'!L4),3)</f>
        <v>5</v>
      </c>
      <c r="M4" s="2" t="s">
        <v>25</v>
      </c>
      <c r="N4" s="2" t="s">
        <v>26</v>
      </c>
      <c r="O4" s="2">
        <v>1</v>
      </c>
      <c r="P4" s="2" t="s">
        <v>45</v>
      </c>
      <c r="Q4" s="9" t="s">
        <v>46</v>
      </c>
      <c r="R4" s="2" t="str">
        <f>IFERROR(TEXT('RAW DATA'!B4,"MMMM"),"UKNNOWN")</f>
        <v>March</v>
      </c>
      <c r="S4" s="2">
        <f>IFERROR(MONTH('RAW DATA'!B4),0)</f>
        <v>3</v>
      </c>
      <c r="T4" s="2" t="str">
        <f t="shared" si="0"/>
        <v>Q1</v>
      </c>
      <c r="U4" s="2" t="str">
        <f>IF('RAW DATA'!I4&gt;20,"High",IF('RAW DATA'!I4&gt;10,"Medium","Low"))</f>
        <v>Low</v>
      </c>
      <c r="V4" s="2" t="str">
        <f>IF('RAW DATA'!B4="","Yes","No")</f>
        <v>No</v>
      </c>
      <c r="W4" s="2" t="str">
        <f>IF(COUNTIF(A$2:A303,A4)&gt;1,"Duplicate","OK")</f>
        <v>OK</v>
      </c>
      <c r="X4">
        <f t="shared" si="1"/>
        <v>5</v>
      </c>
    </row>
    <row r="5" spans="1:24" x14ac:dyDescent="0.25">
      <c r="A5" s="3" t="s">
        <v>47</v>
      </c>
      <c r="B5" s="2" t="str">
        <f>IFERROR(IF('RAW DATA'!B5="","Missing",TEXT('RAW DATA'!B5,"YYYY-MM-DAY")),"INVALID DATE")</f>
        <v>2024-07-2A24</v>
      </c>
      <c r="C5" s="3" t="s">
        <v>49</v>
      </c>
      <c r="D5" s="2" t="str">
        <f>PROPER('RAW DATA'!D5)</f>
        <v>Frank Nzeyimana</v>
      </c>
      <c r="E5" s="3" t="s">
        <v>41</v>
      </c>
      <c r="F5" s="3" t="s">
        <v>42</v>
      </c>
      <c r="G5" s="3" t="s">
        <v>43</v>
      </c>
      <c r="H5" s="3" t="s">
        <v>35</v>
      </c>
      <c r="I5" s="5">
        <f>IFERROR(IF('RAW DATA'!I5="",AVERAGE('RAW DATA'!I$2:I$301),'RAW DATA'!I5),0)</f>
        <v>3.7</v>
      </c>
      <c r="J5" s="3">
        <v>1.8</v>
      </c>
      <c r="K5" s="3" t="s">
        <v>24</v>
      </c>
      <c r="L5" s="2">
        <f>IFERROR(IF('RAW DATA'!L5="",3,'RAW DATA'!L5),3)</f>
        <v>5</v>
      </c>
      <c r="M5" s="3" t="s">
        <v>51</v>
      </c>
      <c r="N5" s="3" t="s">
        <v>26</v>
      </c>
      <c r="O5" s="3">
        <v>0</v>
      </c>
      <c r="P5" s="3" t="s">
        <v>52</v>
      </c>
      <c r="Q5" s="10" t="s">
        <v>53</v>
      </c>
      <c r="R5" s="2" t="str">
        <f>IFERROR(TEXT('RAW DATA'!B5,"MMMM"),"UKNNOWN")</f>
        <v>July</v>
      </c>
      <c r="S5" s="2">
        <f>IFERROR(MONTH('RAW DATA'!B5),0)</f>
        <v>7</v>
      </c>
      <c r="T5" s="3" t="str">
        <f t="shared" si="0"/>
        <v>Q3</v>
      </c>
      <c r="U5" s="3" t="str">
        <f>IF('RAW DATA'!I5&gt;20,"High",IF('RAW DATA'!I5&gt;10,"Medium","Low"))</f>
        <v>Low</v>
      </c>
      <c r="V5" s="3" t="str">
        <f>IF('RAW DATA'!B5="","Yes","No")</f>
        <v>No</v>
      </c>
      <c r="W5" s="2" t="str">
        <f>IF(COUNTIF(A$2:A304,A5)&gt;1,"Duplicate","OK")</f>
        <v>OK</v>
      </c>
      <c r="X5">
        <f t="shared" si="1"/>
        <v>5</v>
      </c>
    </row>
    <row r="6" spans="1:24" x14ac:dyDescent="0.25">
      <c r="A6" s="2" t="s">
        <v>54</v>
      </c>
      <c r="B6" s="2" t="str">
        <f>IFERROR(IF('RAW DATA'!B6="","Missing",TEXT('RAW DATA'!B6,"YYYY-MM-DAY")),"INVALID DATE")</f>
        <v>2024-07-4A24</v>
      </c>
      <c r="C6" s="2" t="s">
        <v>56</v>
      </c>
      <c r="D6" s="2" t="str">
        <f>PROPER('RAW DATA'!D6)</f>
        <v>John Gasana</v>
      </c>
      <c r="E6" s="2" t="s">
        <v>41</v>
      </c>
      <c r="F6" s="2" t="s">
        <v>42</v>
      </c>
      <c r="G6" s="2" t="s">
        <v>43</v>
      </c>
      <c r="H6" s="2" t="s">
        <v>58</v>
      </c>
      <c r="I6" s="5">
        <f>IFERROR(IF('RAW DATA'!I6="",AVERAGE('RAW DATA'!I$2:I$301),'RAW DATA'!I6),0)</f>
        <v>8.4</v>
      </c>
      <c r="J6" s="2">
        <v>4.7</v>
      </c>
      <c r="K6" s="2" t="s">
        <v>24</v>
      </c>
      <c r="L6" s="2">
        <f>IFERROR(IF('RAW DATA'!L6="",3,'RAW DATA'!L6),3)</f>
        <v>5</v>
      </c>
      <c r="M6" s="2" t="s">
        <v>59</v>
      </c>
      <c r="N6" s="2" t="s">
        <v>26</v>
      </c>
      <c r="O6" s="2">
        <v>1</v>
      </c>
      <c r="P6" s="2" t="s">
        <v>45</v>
      </c>
      <c r="Q6" s="9" t="s">
        <v>60</v>
      </c>
      <c r="R6" s="2" t="str">
        <f>IFERROR(TEXT('RAW DATA'!B6,"MMMM"),"UKNNOWN")</f>
        <v>July</v>
      </c>
      <c r="S6" s="2">
        <f>IFERROR(MONTH('RAW DATA'!B6),0)</f>
        <v>7</v>
      </c>
      <c r="T6" s="2" t="str">
        <f t="shared" si="0"/>
        <v>Q3</v>
      </c>
      <c r="U6" s="2" t="str">
        <f>IF('RAW DATA'!I6&gt;20,"High",IF('RAW DATA'!I6&gt;10,"Medium","Low"))</f>
        <v>Low</v>
      </c>
      <c r="V6" s="2" t="str">
        <f>IF('RAW DATA'!B6="","Yes","No")</f>
        <v>No</v>
      </c>
      <c r="W6" s="2" t="str">
        <f>IF(COUNTIF(A$2:A305,A6)&gt;1,"Duplicate","OK")</f>
        <v>OK</v>
      </c>
      <c r="X6">
        <f t="shared" si="1"/>
        <v>5</v>
      </c>
    </row>
    <row r="7" spans="1:24" x14ac:dyDescent="0.25">
      <c r="A7" s="3" t="s">
        <v>61</v>
      </c>
      <c r="B7" s="2" t="str">
        <f>IFERROR(IF('RAW DATA'!B7="","Missing",TEXT('RAW DATA'!B7,"YYYY-MM-DAY")),"INVALID DATE")</f>
        <v>2024-05-22A24</v>
      </c>
      <c r="C7" s="3" t="s">
        <v>63</v>
      </c>
      <c r="D7" s="2" t="str">
        <f>PROPER('RAW DATA'!D7)</f>
        <v>Henry Bizimana</v>
      </c>
      <c r="E7" s="3" t="s">
        <v>33</v>
      </c>
      <c r="F7" s="3" t="s">
        <v>34</v>
      </c>
      <c r="G7" s="3" t="s">
        <v>43</v>
      </c>
      <c r="H7" s="3" t="s">
        <v>65</v>
      </c>
      <c r="I7" s="5">
        <f>IFERROR(IF('RAW DATA'!I7="",AVERAGE('RAW DATA'!I$2:I$301),'RAW DATA'!I7),0)</f>
        <v>6.1</v>
      </c>
      <c r="J7" s="3">
        <v>2.6</v>
      </c>
      <c r="K7" s="3" t="s">
        <v>24</v>
      </c>
      <c r="L7" s="2">
        <f>IFERROR(IF('RAW DATA'!L7="",3,'RAW DATA'!L7),3)</f>
        <v>4</v>
      </c>
      <c r="M7" s="3" t="s">
        <v>51</v>
      </c>
      <c r="N7" s="3" t="s">
        <v>26</v>
      </c>
      <c r="O7" s="3">
        <v>0</v>
      </c>
      <c r="P7" s="3" t="s">
        <v>66</v>
      </c>
      <c r="Q7" s="10" t="s">
        <v>67</v>
      </c>
      <c r="R7" s="2" t="str">
        <f>IFERROR(TEXT('RAW DATA'!B7,"MMMM"),"UKNNOWN")</f>
        <v>May</v>
      </c>
      <c r="S7" s="2">
        <f>IFERROR(MONTH('RAW DATA'!B7),0)</f>
        <v>5</v>
      </c>
      <c r="T7" s="3" t="str">
        <f t="shared" si="0"/>
        <v>Q2</v>
      </c>
      <c r="U7" s="3" t="str">
        <f>IF('RAW DATA'!I7&gt;20,"High",IF('RAW DATA'!I7&gt;10,"Medium","Low"))</f>
        <v>Low</v>
      </c>
      <c r="V7" s="3" t="str">
        <f>IF('RAW DATA'!B7="","Yes","No")</f>
        <v>No</v>
      </c>
      <c r="W7" s="2" t="str">
        <f>IF(COUNTIF(A$2:A306,A7)&gt;1,"Duplicate","OK")</f>
        <v>OK</v>
      </c>
      <c r="X7">
        <f t="shared" si="1"/>
        <v>4</v>
      </c>
    </row>
    <row r="8" spans="1:24" x14ac:dyDescent="0.25">
      <c r="A8" s="2" t="s">
        <v>68</v>
      </c>
      <c r="B8" s="2" t="str">
        <f>IFERROR(IF('RAW DATA'!B8="","Missing",TEXT('RAW DATA'!B8,"YYYY-MM-DAY")),"INVALID DATE")</f>
        <v>2024-05-5A24</v>
      </c>
      <c r="C8" s="2" t="s">
        <v>70</v>
      </c>
      <c r="D8" s="2" t="str">
        <f>PROPER('RAW DATA'!D8)</f>
        <v>Claire Mukamana</v>
      </c>
      <c r="E8" s="2" t="s">
        <v>33</v>
      </c>
      <c r="F8" s="2" t="s">
        <v>34</v>
      </c>
      <c r="G8" s="2" t="s">
        <v>43</v>
      </c>
      <c r="H8" s="2" t="s">
        <v>72</v>
      </c>
      <c r="I8" s="5">
        <f>IFERROR(IF('RAW DATA'!I8="",AVERAGE('RAW DATA'!I$2:I$301),'RAW DATA'!I8),0)</f>
        <v>5.7</v>
      </c>
      <c r="J8" s="2">
        <v>4.4000000000000004</v>
      </c>
      <c r="K8" s="2" t="s">
        <v>24</v>
      </c>
      <c r="L8" s="2">
        <f>IFERROR(IF('RAW DATA'!L8="",3,'RAW DATA'!L8),3)</f>
        <v>5</v>
      </c>
      <c r="M8" s="2" t="s">
        <v>25</v>
      </c>
      <c r="N8" s="2" t="s">
        <v>26</v>
      </c>
      <c r="O8" s="2">
        <v>0</v>
      </c>
      <c r="P8" s="2" t="s">
        <v>66</v>
      </c>
      <c r="Q8" s="9" t="s">
        <v>73</v>
      </c>
      <c r="R8" s="2" t="str">
        <f>IFERROR(TEXT('RAW DATA'!B8,"MMMM"),"UKNNOWN")</f>
        <v>May</v>
      </c>
      <c r="S8" s="2">
        <f>IFERROR(MONTH('RAW DATA'!B8),0)</f>
        <v>5</v>
      </c>
      <c r="T8" s="2" t="str">
        <f t="shared" si="0"/>
        <v>Q2</v>
      </c>
      <c r="U8" s="2" t="str">
        <f>IF('RAW DATA'!I8&gt;20,"High",IF('RAW DATA'!I8&gt;10,"Medium","Low"))</f>
        <v>Low</v>
      </c>
      <c r="V8" s="2" t="str">
        <f>IF('RAW DATA'!B8="","Yes","No")</f>
        <v>No</v>
      </c>
      <c r="W8" s="2" t="str">
        <f>IF(COUNTIF(A$2:A307,A8)&gt;1,"Duplicate","OK")</f>
        <v>OK</v>
      </c>
      <c r="X8">
        <f t="shared" si="1"/>
        <v>5</v>
      </c>
    </row>
    <row r="9" spans="1:24" x14ac:dyDescent="0.25">
      <c r="A9" s="3" t="s">
        <v>74</v>
      </c>
      <c r="B9" s="2" t="str">
        <f>IFERROR(IF('RAW DATA'!B9="","Missing",TEXT('RAW DATA'!B9,"YYYY-MM-DAY")),"INVALID DATE")</f>
        <v>2024-06-10A24</v>
      </c>
      <c r="C9" s="3" t="s">
        <v>39</v>
      </c>
      <c r="D9" s="2" t="str">
        <f>PROPER('RAW DATA'!D9)</f>
        <v>Grace Uwase</v>
      </c>
      <c r="E9" s="3" t="s">
        <v>41</v>
      </c>
      <c r="F9" s="3" t="s">
        <v>42</v>
      </c>
      <c r="G9" s="3" t="s">
        <v>22</v>
      </c>
      <c r="H9" s="3" t="s">
        <v>44</v>
      </c>
      <c r="I9" s="5">
        <f>IFERROR(IF('RAW DATA'!I9="",AVERAGE('RAW DATA'!I$2:I$301),'RAW DATA'!I9),0)</f>
        <v>7.8</v>
      </c>
      <c r="J9" s="3">
        <v>5.4</v>
      </c>
      <c r="K9" s="3" t="s">
        <v>24</v>
      </c>
      <c r="L9" s="2">
        <f>IFERROR(IF('RAW DATA'!L9="",3,'RAW DATA'!L9),3)</f>
        <v>5</v>
      </c>
      <c r="M9" s="3" t="s">
        <v>59</v>
      </c>
      <c r="N9" s="3" t="s">
        <v>26</v>
      </c>
      <c r="O9" s="3">
        <v>1</v>
      </c>
      <c r="P9" s="3" t="s">
        <v>13</v>
      </c>
      <c r="Q9" s="10" t="s">
        <v>46</v>
      </c>
      <c r="R9" s="2" t="str">
        <f>IFERROR(TEXT('RAW DATA'!B9,"MMMM"),"UKNNOWN")</f>
        <v>June</v>
      </c>
      <c r="S9" s="2">
        <f>IFERROR(MONTH('RAW DATA'!B9),0)</f>
        <v>6</v>
      </c>
      <c r="T9" s="3" t="str">
        <f t="shared" si="0"/>
        <v>Q2</v>
      </c>
      <c r="U9" s="3" t="str">
        <f>IF('RAW DATA'!I9&gt;20,"High",IF('RAW DATA'!I9&gt;10,"Medium","Low"))</f>
        <v>Low</v>
      </c>
      <c r="V9" s="3" t="str">
        <f>IF('RAW DATA'!B9="","Yes","No")</f>
        <v>No</v>
      </c>
      <c r="W9" s="2" t="str">
        <f>IF(COUNTIF(A$2:A308,A9)&gt;1,"Duplicate","OK")</f>
        <v>OK</v>
      </c>
      <c r="X9">
        <f t="shared" si="1"/>
        <v>5</v>
      </c>
    </row>
    <row r="10" spans="1:24" x14ac:dyDescent="0.25">
      <c r="A10" s="2" t="s">
        <v>76</v>
      </c>
      <c r="B10" s="2" t="str">
        <f>IFERROR(IF('RAW DATA'!B10="","Missing",TEXT('RAW DATA'!B10,"YYYY-MM-DAY")),"INVALID DATE")</f>
        <v>2024-03-14A24</v>
      </c>
      <c r="C10" s="2" t="s">
        <v>78</v>
      </c>
      <c r="D10" s="2" t="str">
        <f>PROPER('RAW DATA'!D10)</f>
        <v>Eve Ingabire</v>
      </c>
      <c r="E10" s="2" t="s">
        <v>20</v>
      </c>
      <c r="F10" s="2" t="s">
        <v>21</v>
      </c>
      <c r="G10" s="2" t="s">
        <v>22</v>
      </c>
      <c r="H10" s="2" t="s">
        <v>80</v>
      </c>
      <c r="I10" s="5">
        <f>IFERROR(IF('RAW DATA'!I10="",AVERAGE('RAW DATA'!I$2:I$301),'RAW DATA'!I10),0)</f>
        <v>11.2</v>
      </c>
      <c r="J10" s="2">
        <v>6.5</v>
      </c>
      <c r="K10" s="2" t="s">
        <v>24</v>
      </c>
      <c r="L10" s="2">
        <f>IFERROR(IF('RAW DATA'!L10="",3,'RAW DATA'!L10),3)</f>
        <v>4</v>
      </c>
      <c r="M10" s="2" t="s">
        <v>81</v>
      </c>
      <c r="N10" s="2" t="s">
        <v>26</v>
      </c>
      <c r="O10" s="2">
        <v>1</v>
      </c>
      <c r="P10" s="2" t="s">
        <v>27</v>
      </c>
      <c r="Q10" s="9" t="s">
        <v>82</v>
      </c>
      <c r="R10" s="2" t="str">
        <f>IFERROR(TEXT('RAW DATA'!B10,"MMMM"),"UKNNOWN")</f>
        <v>March</v>
      </c>
      <c r="S10" s="2">
        <f>IFERROR(MONTH('RAW DATA'!B10),0)</f>
        <v>3</v>
      </c>
      <c r="T10" s="2" t="str">
        <f t="shared" si="0"/>
        <v>Q1</v>
      </c>
      <c r="U10" s="2" t="str">
        <f>IF('RAW DATA'!I10&gt;20,"High",IF('RAW DATA'!I10&gt;10,"Medium","Low"))</f>
        <v>Medium</v>
      </c>
      <c r="V10" s="2" t="str">
        <f>IF('RAW DATA'!B10="","Yes","No")</f>
        <v>No</v>
      </c>
      <c r="W10" s="2" t="str">
        <f>IF(COUNTIF(A$2:A309,A10)&gt;1,"Duplicate","OK")</f>
        <v>OK</v>
      </c>
      <c r="X10">
        <f t="shared" si="1"/>
        <v>4</v>
      </c>
    </row>
    <row r="11" spans="1:24" x14ac:dyDescent="0.25">
      <c r="A11" s="3" t="s">
        <v>83</v>
      </c>
      <c r="B11" s="2" t="str">
        <f>IFERROR(IF('RAW DATA'!B11="","Missing",TEXT('RAW DATA'!B11,"YYYY-MM-DAY")),"INVALID DATE")</f>
        <v>2024-03-11A24</v>
      </c>
      <c r="C11" s="3" t="s">
        <v>85</v>
      </c>
      <c r="D11" s="2" t="str">
        <f>PROPER('RAW DATA'!D11)</f>
        <v>Irene Mutesi</v>
      </c>
      <c r="E11" s="3" t="s">
        <v>20</v>
      </c>
      <c r="F11" s="3" t="s">
        <v>21</v>
      </c>
      <c r="G11" s="3" t="s">
        <v>22</v>
      </c>
      <c r="H11" s="3" t="s">
        <v>58</v>
      </c>
      <c r="I11" s="5">
        <f>IFERROR(IF('RAW DATA'!I11="",AVERAGE('RAW DATA'!I$2:I$301),'RAW DATA'!I11),0)</f>
        <v>3</v>
      </c>
      <c r="J11" s="3">
        <v>4.0999999999999996</v>
      </c>
      <c r="K11" s="3" t="s">
        <v>24</v>
      </c>
      <c r="L11" s="2">
        <f>IFERROR(IF('RAW DATA'!L11="",3,'RAW DATA'!L11),3)</f>
        <v>5</v>
      </c>
      <c r="M11" s="3" t="s">
        <v>59</v>
      </c>
      <c r="N11" s="3" t="s">
        <v>26</v>
      </c>
      <c r="O11" s="3">
        <v>0</v>
      </c>
      <c r="P11" s="3" t="s">
        <v>13</v>
      </c>
      <c r="Q11" s="10" t="s">
        <v>87</v>
      </c>
      <c r="R11" s="2" t="str">
        <f>IFERROR(TEXT('RAW DATA'!B11,"MMMM"),"UKNNOWN")</f>
        <v>March</v>
      </c>
      <c r="S11" s="2">
        <f>IFERROR(MONTH('RAW DATA'!B11),0)</f>
        <v>3</v>
      </c>
      <c r="T11" s="3" t="str">
        <f t="shared" si="0"/>
        <v>Q1</v>
      </c>
      <c r="U11" s="3" t="str">
        <f>IF('RAW DATA'!I11&gt;20,"High",IF('RAW DATA'!I11&gt;10,"Medium","Low"))</f>
        <v>Low</v>
      </c>
      <c r="V11" s="3" t="str">
        <f>IF('RAW DATA'!B11="","Yes","No")</f>
        <v>No</v>
      </c>
      <c r="W11" s="2" t="str">
        <f>IF(COUNTIF(A$2:A310,A11)&gt;1,"Duplicate","OK")</f>
        <v>OK</v>
      </c>
      <c r="X11">
        <f t="shared" si="1"/>
        <v>5</v>
      </c>
    </row>
    <row r="12" spans="1:24" x14ac:dyDescent="0.25">
      <c r="A12" s="2" t="s">
        <v>88</v>
      </c>
      <c r="B12" s="2" t="str">
        <f>IFERROR(IF('RAW DATA'!B12="","Missing",TEXT('RAW DATA'!B12,"YYYY-MM-DAY")),"INVALID DATE")</f>
        <v>2024-07-14A24</v>
      </c>
      <c r="C12" s="2" t="s">
        <v>56</v>
      </c>
      <c r="D12" s="2" t="str">
        <f>PROPER('RAW DATA'!D12)</f>
        <v>John Gasana</v>
      </c>
      <c r="E12" s="2" t="s">
        <v>41</v>
      </c>
      <c r="F12" s="2" t="s">
        <v>42</v>
      </c>
      <c r="G12" s="2" t="s">
        <v>41</v>
      </c>
      <c r="H12" s="2" t="s">
        <v>35</v>
      </c>
      <c r="I12" s="5">
        <f>IFERROR(IF('RAW DATA'!I12="",AVERAGE('RAW DATA'!I$2:I$301),'RAW DATA'!I12),0)</f>
        <v>11.7</v>
      </c>
      <c r="J12" s="2">
        <v>3.9</v>
      </c>
      <c r="K12" s="2" t="s">
        <v>24</v>
      </c>
      <c r="L12" s="2">
        <f>IFERROR(IF('RAW DATA'!L12="",3,'RAW DATA'!L12),3)</f>
        <v>5</v>
      </c>
      <c r="M12" s="2" t="s">
        <v>90</v>
      </c>
      <c r="N12" s="2" t="s">
        <v>26</v>
      </c>
      <c r="O12" s="2">
        <v>0</v>
      </c>
      <c r="P12" s="2" t="s">
        <v>45</v>
      </c>
      <c r="Q12" s="9" t="s">
        <v>60</v>
      </c>
      <c r="R12" s="2" t="str">
        <f>IFERROR(TEXT('RAW DATA'!B12,"MMMM"),"UKNNOWN")</f>
        <v>July</v>
      </c>
      <c r="S12" s="2">
        <f>IFERROR(MONTH('RAW DATA'!B12),0)</f>
        <v>7</v>
      </c>
      <c r="T12" s="2" t="str">
        <f t="shared" si="0"/>
        <v>Q3</v>
      </c>
      <c r="U12" s="2" t="str">
        <f>IF('RAW DATA'!I12&gt;20,"High",IF('RAW DATA'!I12&gt;10,"Medium","Low"))</f>
        <v>Medium</v>
      </c>
      <c r="V12" s="2" t="str">
        <f>IF('RAW DATA'!B12="","Yes","No")</f>
        <v>No</v>
      </c>
      <c r="W12" s="2" t="str">
        <f>IF(COUNTIF(A$2:A311,A12)&gt;1,"Duplicate","OK")</f>
        <v>OK</v>
      </c>
      <c r="X12">
        <f t="shared" si="1"/>
        <v>5</v>
      </c>
    </row>
    <row r="13" spans="1:24" x14ac:dyDescent="0.25">
      <c r="A13" s="3" t="s">
        <v>91</v>
      </c>
      <c r="B13" s="2" t="str">
        <f>IFERROR(IF('RAW DATA'!B13="","Missing",TEXT('RAW DATA'!B13,"YYYY-MM-DAY")),"INVALID DATE")</f>
        <v>2024-02-27A24</v>
      </c>
      <c r="C13" s="3" t="s">
        <v>78</v>
      </c>
      <c r="D13" s="2" t="str">
        <f>PROPER('RAW DATA'!D13)</f>
        <v>Eve Ingabire</v>
      </c>
      <c r="E13" s="3" t="s">
        <v>20</v>
      </c>
      <c r="F13" s="3" t="s">
        <v>21</v>
      </c>
      <c r="G13" s="3" t="s">
        <v>43</v>
      </c>
      <c r="H13" s="3" t="s">
        <v>58</v>
      </c>
      <c r="I13" s="5">
        <f>IFERROR(IF('RAW DATA'!I13="",AVERAGE('RAW DATA'!I$2:I$301),'RAW DATA'!I13),0)</f>
        <v>5</v>
      </c>
      <c r="J13" s="3">
        <v>4.9000000000000004</v>
      </c>
      <c r="K13" s="3" t="s">
        <v>24</v>
      </c>
      <c r="L13" s="2">
        <f>IFERROR(IF('RAW DATA'!L13="",3,'RAW DATA'!L13),3)</f>
        <v>5</v>
      </c>
      <c r="M13" s="3" t="s">
        <v>90</v>
      </c>
      <c r="N13" s="3" t="s">
        <v>26</v>
      </c>
      <c r="O13" s="3">
        <v>1</v>
      </c>
      <c r="P13" s="3" t="s">
        <v>27</v>
      </c>
      <c r="Q13" s="10" t="s">
        <v>82</v>
      </c>
      <c r="R13" s="2" t="str">
        <f>IFERROR(TEXT('RAW DATA'!B13,"MMMM"),"UKNNOWN")</f>
        <v>February</v>
      </c>
      <c r="S13" s="2">
        <f>IFERROR(MONTH('RAW DATA'!B13),0)</f>
        <v>2</v>
      </c>
      <c r="T13" s="3" t="str">
        <f t="shared" si="0"/>
        <v>Q1</v>
      </c>
      <c r="U13" s="3" t="str">
        <f>IF('RAW DATA'!I13&gt;20,"High",IF('RAW DATA'!I13&gt;10,"Medium","Low"))</f>
        <v>Low</v>
      </c>
      <c r="V13" s="3" t="str">
        <f>IF('RAW DATA'!B13="","Yes","No")</f>
        <v>No</v>
      </c>
      <c r="W13" s="2" t="str">
        <f>IF(COUNTIF(A$2:A312,A13)&gt;1,"Duplicate","OK")</f>
        <v>OK</v>
      </c>
      <c r="X13">
        <f t="shared" si="1"/>
        <v>5</v>
      </c>
    </row>
    <row r="14" spans="1:24" x14ac:dyDescent="0.25">
      <c r="A14" s="2" t="s">
        <v>93</v>
      </c>
      <c r="B14" s="2" t="str">
        <f>IFERROR(IF('RAW DATA'!B14="","Missing",TEXT('RAW DATA'!B14,"YYYY-MM-DAY")),"INVALID DATE")</f>
        <v>2024-11-23A24</v>
      </c>
      <c r="C14" s="2" t="s">
        <v>85</v>
      </c>
      <c r="D14" s="2" t="str">
        <f>PROPER('RAW DATA'!D14)</f>
        <v>Irene Mutesi</v>
      </c>
      <c r="E14" s="2" t="s">
        <v>20</v>
      </c>
      <c r="F14" s="2" t="s">
        <v>21</v>
      </c>
      <c r="G14" s="2" t="s">
        <v>43</v>
      </c>
      <c r="H14" s="2" t="s">
        <v>95</v>
      </c>
      <c r="I14" s="5">
        <f>IFERROR(IF('RAW DATA'!I14="",AVERAGE('RAW DATA'!I$2:I$301),'RAW DATA'!I14),0)</f>
        <v>6.7</v>
      </c>
      <c r="J14" s="2">
        <v>3.3</v>
      </c>
      <c r="K14" s="2" t="s">
        <v>24</v>
      </c>
      <c r="L14" s="2">
        <f>IFERROR(IF('RAW DATA'!L14="",3,'RAW DATA'!L14),3)</f>
        <v>5</v>
      </c>
      <c r="M14" s="2" t="s">
        <v>25</v>
      </c>
      <c r="N14" s="2" t="s">
        <v>26</v>
      </c>
      <c r="O14" s="2">
        <v>0</v>
      </c>
      <c r="P14" s="2" t="s">
        <v>27</v>
      </c>
      <c r="Q14" s="9" t="s">
        <v>87</v>
      </c>
      <c r="R14" s="2" t="str">
        <f>IFERROR(TEXT('RAW DATA'!B14,"MMMM"),"UKNNOWN")</f>
        <v>November</v>
      </c>
      <c r="S14" s="2">
        <f>IFERROR(MONTH('RAW DATA'!B14),0)</f>
        <v>11</v>
      </c>
      <c r="T14" s="2" t="str">
        <f t="shared" si="0"/>
        <v>Q4</v>
      </c>
      <c r="U14" s="2" t="str">
        <f>IF('RAW DATA'!I14&gt;20,"High",IF('RAW DATA'!I14&gt;10,"Medium","Low"))</f>
        <v>Low</v>
      </c>
      <c r="V14" s="2" t="str">
        <f>IF('RAW DATA'!B14="","Yes","No")</f>
        <v>No</v>
      </c>
      <c r="W14" s="2" t="str">
        <f>IF(COUNTIF(A$2:A313,A14)&gt;1,"Duplicate","OK")</f>
        <v>OK</v>
      </c>
      <c r="X14">
        <f t="shared" si="1"/>
        <v>5</v>
      </c>
    </row>
    <row r="15" spans="1:24" x14ac:dyDescent="0.25">
      <c r="A15" s="3" t="s">
        <v>96</v>
      </c>
      <c r="B15" s="2" t="str">
        <f>IFERROR(IF('RAW DATA'!B15="","Missing",TEXT('RAW DATA'!B15,"YYYY-MM-DAY")),"INVALID DATE")</f>
        <v>2024-02-27A24</v>
      </c>
      <c r="C15" s="3" t="s">
        <v>49</v>
      </c>
      <c r="D15" s="2" t="str">
        <f>PROPER('RAW DATA'!D15)</f>
        <v>Frank Nzeyimana</v>
      </c>
      <c r="E15" s="3" t="s">
        <v>41</v>
      </c>
      <c r="F15" s="3" t="s">
        <v>42</v>
      </c>
      <c r="G15" s="3" t="s">
        <v>43</v>
      </c>
      <c r="H15" s="3" t="s">
        <v>58</v>
      </c>
      <c r="I15" s="5">
        <f>IFERROR(IF('RAW DATA'!I15="",AVERAGE('RAW DATA'!I$2:I$301),'RAW DATA'!I15),0)</f>
        <v>12.1</v>
      </c>
      <c r="J15" s="3">
        <v>1.4</v>
      </c>
      <c r="K15" s="3" t="s">
        <v>24</v>
      </c>
      <c r="L15" s="2">
        <f>IFERROR(IF('RAW DATA'!L15="",3,'RAW DATA'!L15),3)</f>
        <v>4</v>
      </c>
      <c r="M15" s="3" t="s">
        <v>59</v>
      </c>
      <c r="N15" s="3" t="s">
        <v>26</v>
      </c>
      <c r="O15" s="3">
        <v>0</v>
      </c>
      <c r="P15" s="3" t="s">
        <v>27</v>
      </c>
      <c r="Q15" s="10" t="s">
        <v>53</v>
      </c>
      <c r="R15" s="2" t="str">
        <f>IFERROR(TEXT('RAW DATA'!B15,"MMMM"),"UKNNOWN")</f>
        <v>February</v>
      </c>
      <c r="S15" s="2">
        <f>IFERROR(MONTH('RAW DATA'!B15),0)</f>
        <v>2</v>
      </c>
      <c r="T15" s="3" t="str">
        <f t="shared" si="0"/>
        <v>Q1</v>
      </c>
      <c r="U15" s="3" t="str">
        <f>IF('RAW DATA'!I15&gt;20,"High",IF('RAW DATA'!I15&gt;10,"Medium","Low"))</f>
        <v>Medium</v>
      </c>
      <c r="V15" s="3" t="str">
        <f>IF('RAW DATA'!B15="","Yes","No")</f>
        <v>No</v>
      </c>
      <c r="W15" s="2" t="str">
        <f>IF(COUNTIF(A$2:A314,A15)&gt;1,"Duplicate","OK")</f>
        <v>OK</v>
      </c>
      <c r="X15">
        <f t="shared" si="1"/>
        <v>4</v>
      </c>
    </row>
    <row r="16" spans="1:24" x14ac:dyDescent="0.25">
      <c r="A16" s="2" t="s">
        <v>97</v>
      </c>
      <c r="B16" s="2" t="str">
        <f>IFERROR(IF('RAW DATA'!B16="","Missing",TEXT('RAW DATA'!B16,"YYYY-MM-DAY")),"INVALID DATE")</f>
        <v>2024-02-5A24</v>
      </c>
      <c r="C16" s="2" t="s">
        <v>85</v>
      </c>
      <c r="D16" s="2" t="str">
        <f>PROPER('RAW DATA'!D16)</f>
        <v>Irene Mutesi</v>
      </c>
      <c r="E16" s="2" t="s">
        <v>20</v>
      </c>
      <c r="F16" s="2" t="s">
        <v>21</v>
      </c>
      <c r="G16" s="2" t="s">
        <v>41</v>
      </c>
      <c r="H16" s="2" t="s">
        <v>44</v>
      </c>
      <c r="I16" s="5">
        <f>IFERROR(IF('RAW DATA'!I16="",AVERAGE('RAW DATA'!I$2:I$301),'RAW DATA'!I16),0)</f>
        <v>8.1999999999999993</v>
      </c>
      <c r="J16" s="2">
        <v>3</v>
      </c>
      <c r="K16" s="2" t="s">
        <v>24</v>
      </c>
      <c r="L16" s="2">
        <f>IFERROR(IF('RAW DATA'!L16="",3,'RAW DATA'!L16),3)</f>
        <v>4</v>
      </c>
      <c r="M16" s="2" t="s">
        <v>81</v>
      </c>
      <c r="N16" s="2" t="s">
        <v>26</v>
      </c>
      <c r="O16" s="2">
        <v>0</v>
      </c>
      <c r="P16" s="2" t="s">
        <v>66</v>
      </c>
      <c r="Q16" s="9" t="s">
        <v>87</v>
      </c>
      <c r="R16" s="2" t="str">
        <f>IFERROR(TEXT('RAW DATA'!B16,"MMMM"),"UKNNOWN")</f>
        <v>February</v>
      </c>
      <c r="S16" s="2">
        <f>IFERROR(MONTH('RAW DATA'!B16),0)</f>
        <v>2</v>
      </c>
      <c r="T16" s="2" t="str">
        <f t="shared" si="0"/>
        <v>Q1</v>
      </c>
      <c r="U16" s="2" t="str">
        <f>IF('RAW DATA'!I16&gt;20,"High",IF('RAW DATA'!I16&gt;10,"Medium","Low"))</f>
        <v>Low</v>
      </c>
      <c r="V16" s="2" t="str">
        <f>IF('RAW DATA'!B16="","Yes","No")</f>
        <v>No</v>
      </c>
      <c r="W16" s="2" t="str">
        <f>IF(COUNTIF(A$2:A315,A16)&gt;1,"Duplicate","OK")</f>
        <v>OK</v>
      </c>
      <c r="X16">
        <f t="shared" si="1"/>
        <v>4</v>
      </c>
    </row>
    <row r="17" spans="1:24" x14ac:dyDescent="0.25">
      <c r="A17" s="3" t="s">
        <v>99</v>
      </c>
      <c r="B17" s="2" t="str">
        <f>IFERROR(IF('RAW DATA'!B17="","Missing",TEXT('RAW DATA'!B17,"YYYY-MM-DAY")),"INVALID DATE")</f>
        <v>2024-10-3A24</v>
      </c>
      <c r="C17" s="3" t="s">
        <v>31</v>
      </c>
      <c r="D17" s="2" t="str">
        <f>PROPER('RAW DATA'!D17)</f>
        <v>David Habimana</v>
      </c>
      <c r="E17" s="3" t="s">
        <v>33</v>
      </c>
      <c r="F17" s="3" t="s">
        <v>34</v>
      </c>
      <c r="G17" s="3" t="s">
        <v>41</v>
      </c>
      <c r="H17" s="3" t="s">
        <v>95</v>
      </c>
      <c r="I17" s="5">
        <f>IFERROR(IF('RAW DATA'!I17="",AVERAGE('RAW DATA'!I$2:I$301),'RAW DATA'!I17),0)</f>
        <v>7.3</v>
      </c>
      <c r="J17" s="3">
        <v>2</v>
      </c>
      <c r="K17" s="3" t="s">
        <v>24</v>
      </c>
      <c r="L17" s="2">
        <f>IFERROR(IF('RAW DATA'!L17="",3,'RAW DATA'!L17),3)</f>
        <v>5</v>
      </c>
      <c r="M17" s="3" t="s">
        <v>25</v>
      </c>
      <c r="N17" s="3" t="s">
        <v>26</v>
      </c>
      <c r="O17" s="3">
        <v>1</v>
      </c>
      <c r="P17" s="3" t="s">
        <v>52</v>
      </c>
      <c r="Q17" s="10" t="s">
        <v>36</v>
      </c>
      <c r="R17" s="2" t="str">
        <f>IFERROR(TEXT('RAW DATA'!B17,"MMMM"),"UKNNOWN")</f>
        <v>October</v>
      </c>
      <c r="S17" s="2">
        <f>IFERROR(MONTH('RAW DATA'!B17),0)</f>
        <v>10</v>
      </c>
      <c r="T17" s="3" t="str">
        <f t="shared" si="0"/>
        <v>Q4</v>
      </c>
      <c r="U17" s="3" t="str">
        <f>IF('RAW DATA'!I17&gt;20,"High",IF('RAW DATA'!I17&gt;10,"Medium","Low"))</f>
        <v>Low</v>
      </c>
      <c r="V17" s="3" t="str">
        <f>IF('RAW DATA'!B17="","Yes","No")</f>
        <v>No</v>
      </c>
      <c r="W17" s="2" t="str">
        <f>IF(COUNTIF(A$2:A316,A17)&gt;1,"Duplicate","OK")</f>
        <v>OK</v>
      </c>
      <c r="X17">
        <f t="shared" si="1"/>
        <v>5</v>
      </c>
    </row>
    <row r="18" spans="1:24" x14ac:dyDescent="0.25">
      <c r="A18" s="2" t="s">
        <v>101</v>
      </c>
      <c r="B18" s="2" t="str">
        <f>IFERROR(IF('RAW DATA'!B18="","Missing",TEXT('RAW DATA'!B18,"YYYY-MM-DAY")),"INVALID DATE")</f>
        <v>2024-05-6A24</v>
      </c>
      <c r="C18" s="2" t="s">
        <v>31</v>
      </c>
      <c r="D18" s="2" t="str">
        <f>PROPER('RAW DATA'!D18)</f>
        <v>David Habimana</v>
      </c>
      <c r="E18" s="2" t="s">
        <v>33</v>
      </c>
      <c r="F18" s="2" t="s">
        <v>34</v>
      </c>
      <c r="G18" s="2" t="s">
        <v>43</v>
      </c>
      <c r="H18" s="2" t="s">
        <v>23</v>
      </c>
      <c r="I18" s="5">
        <f>IFERROR(IF('RAW DATA'!I18="",AVERAGE('RAW DATA'!I$2:I$301),'RAW DATA'!I18),0)</f>
        <v>8.6</v>
      </c>
      <c r="J18" s="2">
        <v>4.2</v>
      </c>
      <c r="K18" s="2" t="s">
        <v>24</v>
      </c>
      <c r="L18" s="2">
        <f>IFERROR(IF('RAW DATA'!L18="",3,'RAW DATA'!L18),3)</f>
        <v>4</v>
      </c>
      <c r="M18" s="2" t="s">
        <v>81</v>
      </c>
      <c r="N18" s="2" t="s">
        <v>26</v>
      </c>
      <c r="O18" s="2">
        <v>0</v>
      </c>
      <c r="P18" s="2" t="s">
        <v>45</v>
      </c>
      <c r="Q18" s="9" t="s">
        <v>36</v>
      </c>
      <c r="R18" s="2" t="str">
        <f>IFERROR(TEXT('RAW DATA'!B18,"MMMM"),"UKNNOWN")</f>
        <v>May</v>
      </c>
      <c r="S18" s="2">
        <f>IFERROR(MONTH('RAW DATA'!B18),0)</f>
        <v>5</v>
      </c>
      <c r="T18" s="2" t="str">
        <f t="shared" si="0"/>
        <v>Q2</v>
      </c>
      <c r="U18" s="2" t="str">
        <f>IF('RAW DATA'!I18&gt;20,"High",IF('RAW DATA'!I18&gt;10,"Medium","Low"))</f>
        <v>Low</v>
      </c>
      <c r="V18" s="2" t="str">
        <f>IF('RAW DATA'!B18="","Yes","No")</f>
        <v>No</v>
      </c>
      <c r="W18" s="2" t="str">
        <f>IF(COUNTIF(A$2:A317,A18)&gt;1,"Duplicate","OK")</f>
        <v>OK</v>
      </c>
      <c r="X18">
        <f t="shared" si="1"/>
        <v>4</v>
      </c>
    </row>
    <row r="19" spans="1:24" x14ac:dyDescent="0.25">
      <c r="A19" s="3" t="s">
        <v>103</v>
      </c>
      <c r="B19" s="2" t="str">
        <f>IFERROR(IF('RAW DATA'!B19="","Missing",TEXT('RAW DATA'!B19,"YYYY-MM-DAY")),"INVALID DATE")</f>
        <v>2024-02-4A24</v>
      </c>
      <c r="C19" s="3" t="s">
        <v>105</v>
      </c>
      <c r="D19" s="2" t="str">
        <f>PROPER('RAW DATA'!D19)</f>
        <v>Alice Uwimana</v>
      </c>
      <c r="E19" s="3" t="s">
        <v>20</v>
      </c>
      <c r="F19" s="3" t="s">
        <v>21</v>
      </c>
      <c r="G19" s="3" t="s">
        <v>41</v>
      </c>
      <c r="H19" s="3" t="s">
        <v>95</v>
      </c>
      <c r="I19" s="5">
        <f>IFERROR(IF('RAW DATA'!I19="",AVERAGE('RAW DATA'!I$2:I$301),'RAW DATA'!I19),0)</f>
        <v>8.6999999999999993</v>
      </c>
      <c r="J19" s="3">
        <v>3.4</v>
      </c>
      <c r="K19" s="3" t="s">
        <v>26</v>
      </c>
      <c r="L19" s="2">
        <f>IFERROR(IF('RAW DATA'!L19="",3,'RAW DATA'!L19),3)</f>
        <v>3</v>
      </c>
      <c r="M19" s="3" t="s">
        <v>81</v>
      </c>
      <c r="N19" s="3" t="s">
        <v>24</v>
      </c>
      <c r="O19" s="3">
        <v>1</v>
      </c>
      <c r="P19" s="3" t="s">
        <v>27</v>
      </c>
      <c r="Q19" s="10" t="s">
        <v>107</v>
      </c>
      <c r="R19" s="2" t="str">
        <f>IFERROR(TEXT('RAW DATA'!B19,"MMMM"),"UKNNOWN")</f>
        <v>February</v>
      </c>
      <c r="S19" s="2">
        <f>IFERROR(MONTH('RAW DATA'!B19),0)</f>
        <v>2</v>
      </c>
      <c r="T19" s="3" t="str">
        <f t="shared" si="0"/>
        <v>Q1</v>
      </c>
      <c r="U19" s="3" t="str">
        <f>IF('RAW DATA'!I19&gt;20,"High",IF('RAW DATA'!I19&gt;10,"Medium","Low"))</f>
        <v>Low</v>
      </c>
      <c r="V19" s="3" t="str">
        <f>IF('RAW DATA'!B19="","Yes","No")</f>
        <v>No</v>
      </c>
      <c r="W19" s="2" t="str">
        <f>IF(COUNTIF(A$2:A318,A19)&gt;1,"Duplicate","OK")</f>
        <v>OK</v>
      </c>
      <c r="X19">
        <f t="shared" si="1"/>
        <v>3</v>
      </c>
    </row>
    <row r="20" spans="1:24" x14ac:dyDescent="0.25">
      <c r="A20" s="2" t="s">
        <v>108</v>
      </c>
      <c r="B20" s="2" t="str">
        <f>IFERROR(IF('RAW DATA'!B20="","Missing",TEXT('RAW DATA'!B20,"YYYY-MM-DAY")),"INVALID DATE")</f>
        <v>2024-08-30A24</v>
      </c>
      <c r="C20" s="2" t="s">
        <v>39</v>
      </c>
      <c r="D20" s="2" t="str">
        <f>PROPER('RAW DATA'!D20)</f>
        <v>Grace Uwase</v>
      </c>
      <c r="E20" s="2" t="s">
        <v>41</v>
      </c>
      <c r="F20" s="2" t="s">
        <v>42</v>
      </c>
      <c r="G20" s="2" t="s">
        <v>22</v>
      </c>
      <c r="H20" s="2" t="s">
        <v>23</v>
      </c>
      <c r="I20" s="5">
        <f>IFERROR(IF('RAW DATA'!I20="",AVERAGE('RAW DATA'!I$2:I$301),'RAW DATA'!I20),0)</f>
        <v>8.5</v>
      </c>
      <c r="J20" s="2">
        <v>4.8</v>
      </c>
      <c r="K20" s="2" t="s">
        <v>24</v>
      </c>
      <c r="L20" s="2">
        <f>IFERROR(IF('RAW DATA'!L20="",3,'RAW DATA'!L20),3)</f>
        <v>4</v>
      </c>
      <c r="M20" s="2" t="s">
        <v>25</v>
      </c>
      <c r="N20" s="2" t="s">
        <v>26</v>
      </c>
      <c r="O20" s="2">
        <v>1</v>
      </c>
      <c r="P20" s="2" t="s">
        <v>52</v>
      </c>
      <c r="Q20" s="9" t="s">
        <v>46</v>
      </c>
      <c r="R20" s="2" t="str">
        <f>IFERROR(TEXT('RAW DATA'!B20,"MMMM"),"UKNNOWN")</f>
        <v>August</v>
      </c>
      <c r="S20" s="2">
        <f>IFERROR(MONTH('RAW DATA'!B20),0)</f>
        <v>8</v>
      </c>
      <c r="T20" s="2" t="str">
        <f t="shared" si="0"/>
        <v>Q3</v>
      </c>
      <c r="U20" s="2" t="str">
        <f>IF('RAW DATA'!I20&gt;20,"High",IF('RAW DATA'!I20&gt;10,"Medium","Low"))</f>
        <v>Low</v>
      </c>
      <c r="V20" s="2" t="str">
        <f>IF('RAW DATA'!B20="","Yes","No")</f>
        <v>No</v>
      </c>
      <c r="W20" s="2" t="str">
        <f>IF(COUNTIF(A$2:A319,A20)&gt;1,"Duplicate","OK")</f>
        <v>OK</v>
      </c>
      <c r="X20">
        <f t="shared" si="1"/>
        <v>4</v>
      </c>
    </row>
    <row r="21" spans="1:24" x14ac:dyDescent="0.25">
      <c r="A21" s="3" t="s">
        <v>110</v>
      </c>
      <c r="B21" s="2" t="str">
        <f>IFERROR(IF('RAW DATA'!B21="","Missing",TEXT('RAW DATA'!B21,"YYYY-MM-DAY")),"INVALID DATE")</f>
        <v>2024-02-1A24</v>
      </c>
      <c r="C21" s="3" t="s">
        <v>39</v>
      </c>
      <c r="D21" s="2" t="str">
        <f>PROPER('RAW DATA'!D21)</f>
        <v>Grace Uwase</v>
      </c>
      <c r="E21" s="3" t="s">
        <v>41</v>
      </c>
      <c r="F21" s="3" t="s">
        <v>42</v>
      </c>
      <c r="G21" s="3" t="s">
        <v>22</v>
      </c>
      <c r="H21" s="3" t="s">
        <v>65</v>
      </c>
      <c r="I21" s="5">
        <f>IFERROR(IF('RAW DATA'!I21="",AVERAGE('RAW DATA'!I$2:I$301),'RAW DATA'!I21),0)</f>
        <v>7.3</v>
      </c>
      <c r="J21" s="3">
        <v>0.4</v>
      </c>
      <c r="K21" s="3" t="s">
        <v>26</v>
      </c>
      <c r="L21" s="2">
        <f>IFERROR(IF('RAW DATA'!L21="",3,'RAW DATA'!L21),3)</f>
        <v>2</v>
      </c>
      <c r="M21" s="3" t="s">
        <v>90</v>
      </c>
      <c r="N21" s="3" t="s">
        <v>24</v>
      </c>
      <c r="O21" s="3">
        <v>3</v>
      </c>
      <c r="P21" s="3" t="s">
        <v>13</v>
      </c>
      <c r="Q21" s="10" t="s">
        <v>46</v>
      </c>
      <c r="R21" s="2" t="str">
        <f>IFERROR(TEXT('RAW DATA'!B21,"MMMM"),"UKNNOWN")</f>
        <v>February</v>
      </c>
      <c r="S21" s="2">
        <f>IFERROR(MONTH('RAW DATA'!B21),0)</f>
        <v>2</v>
      </c>
      <c r="T21" s="3" t="str">
        <f t="shared" si="0"/>
        <v>Q1</v>
      </c>
      <c r="U21" s="3" t="str">
        <f>IF('RAW DATA'!I21&gt;20,"High",IF('RAW DATA'!I21&gt;10,"Medium","Low"))</f>
        <v>Low</v>
      </c>
      <c r="V21" s="3" t="str">
        <f>IF('RAW DATA'!B21="","Yes","No")</f>
        <v>No</v>
      </c>
      <c r="W21" s="2" t="str">
        <f>IF(COUNTIF(A$2:A320,A21)&gt;1,"Duplicate","OK")</f>
        <v>OK</v>
      </c>
      <c r="X21">
        <f t="shared" si="1"/>
        <v>2</v>
      </c>
    </row>
    <row r="22" spans="1:24" x14ac:dyDescent="0.25">
      <c r="A22" s="2" t="s">
        <v>112</v>
      </c>
      <c r="B22" s="2" t="str">
        <f>IFERROR(IF('RAW DATA'!B22="","Missing",TEXT('RAW DATA'!B22,"YYYY-MM-DAY")),"INVALID DATE")</f>
        <v>2024-08-24A24</v>
      </c>
      <c r="C22" s="2" t="s">
        <v>31</v>
      </c>
      <c r="D22" s="2" t="str">
        <f>PROPER('RAW DATA'!D22)</f>
        <v>David Habimana</v>
      </c>
      <c r="E22" s="2" t="s">
        <v>33</v>
      </c>
      <c r="F22" s="2" t="s">
        <v>34</v>
      </c>
      <c r="G22" s="2" t="s">
        <v>41</v>
      </c>
      <c r="H22" s="2" t="s">
        <v>23</v>
      </c>
      <c r="I22" s="5">
        <f>IFERROR(IF('RAW DATA'!I22="",AVERAGE('RAW DATA'!I$2:I$301),'RAW DATA'!I22),0)</f>
        <v>8.8000000000000007</v>
      </c>
      <c r="J22" s="2">
        <v>3.4</v>
      </c>
      <c r="K22" s="2" t="s">
        <v>24</v>
      </c>
      <c r="L22" s="2">
        <f>IFERROR(IF('RAW DATA'!L22="",3,'RAW DATA'!L22),3)</f>
        <v>5</v>
      </c>
      <c r="M22" s="2" t="s">
        <v>25</v>
      </c>
      <c r="N22" s="2" t="s">
        <v>26</v>
      </c>
      <c r="O22" s="2">
        <v>0</v>
      </c>
      <c r="P22" s="2" t="s">
        <v>45</v>
      </c>
      <c r="Q22" s="9" t="s">
        <v>36</v>
      </c>
      <c r="R22" s="2" t="str">
        <f>IFERROR(TEXT('RAW DATA'!B22,"MMMM"),"UKNNOWN")</f>
        <v>August</v>
      </c>
      <c r="S22" s="2">
        <f>IFERROR(MONTH('RAW DATA'!B22),0)</f>
        <v>8</v>
      </c>
      <c r="T22" s="2" t="str">
        <f t="shared" si="0"/>
        <v>Q3</v>
      </c>
      <c r="U22" s="2" t="str">
        <f>IF('RAW DATA'!I22&gt;20,"High",IF('RAW DATA'!I22&gt;10,"Medium","Low"))</f>
        <v>Low</v>
      </c>
      <c r="V22" s="2" t="str">
        <f>IF('RAW DATA'!B22="","Yes","No")</f>
        <v>No</v>
      </c>
      <c r="W22" s="2" t="str">
        <f>IF(COUNTIF(A$2:A321,A22)&gt;1,"Duplicate","OK")</f>
        <v>OK</v>
      </c>
      <c r="X22">
        <f t="shared" si="1"/>
        <v>5</v>
      </c>
    </row>
    <row r="23" spans="1:24" x14ac:dyDescent="0.25">
      <c r="A23" s="3" t="s">
        <v>114</v>
      </c>
      <c r="B23" s="2" t="str">
        <f>IFERROR(IF('RAW DATA'!B23="","Missing",TEXT('RAW DATA'!B23,"YYYY-MM-DAY")),"INVALID DATE")</f>
        <v>2024-05-1A24</v>
      </c>
      <c r="C23" s="3" t="s">
        <v>70</v>
      </c>
      <c r="D23" s="2" t="str">
        <f>PROPER('RAW DATA'!D23)</f>
        <v>Claire Mukamana</v>
      </c>
      <c r="E23" s="3" t="s">
        <v>33</v>
      </c>
      <c r="F23" s="3" t="s">
        <v>34</v>
      </c>
      <c r="G23" s="3" t="s">
        <v>22</v>
      </c>
      <c r="H23" s="3" t="s">
        <v>23</v>
      </c>
      <c r="I23" s="5">
        <f>IFERROR(IF('RAW DATA'!I23="",AVERAGE('RAW DATA'!I$2:I$301),'RAW DATA'!I23),0)</f>
        <v>5.0999999999999996</v>
      </c>
      <c r="J23" s="3">
        <v>5.3</v>
      </c>
      <c r="K23" s="3" t="s">
        <v>24</v>
      </c>
      <c r="L23" s="2">
        <f>IFERROR(IF('RAW DATA'!L23="",3,'RAW DATA'!L23),3)</f>
        <v>5</v>
      </c>
      <c r="M23" s="3" t="s">
        <v>59</v>
      </c>
      <c r="N23" s="3" t="s">
        <v>26</v>
      </c>
      <c r="O23" s="3">
        <v>0</v>
      </c>
      <c r="P23" s="3" t="s">
        <v>13</v>
      </c>
      <c r="Q23" s="10" t="s">
        <v>73</v>
      </c>
      <c r="R23" s="2" t="str">
        <f>IFERROR(TEXT('RAW DATA'!B23,"MMMM"),"UKNNOWN")</f>
        <v>May</v>
      </c>
      <c r="S23" s="2">
        <f>IFERROR(MONTH('RAW DATA'!B23),0)</f>
        <v>5</v>
      </c>
      <c r="T23" s="3" t="str">
        <f t="shared" si="0"/>
        <v>Q2</v>
      </c>
      <c r="U23" s="3" t="str">
        <f>IF('RAW DATA'!I23&gt;20,"High",IF('RAW DATA'!I23&gt;10,"Medium","Low"))</f>
        <v>Low</v>
      </c>
      <c r="V23" s="3" t="str">
        <f>IF('RAW DATA'!B23="","Yes","No")</f>
        <v>No</v>
      </c>
      <c r="W23" s="2" t="str">
        <f>IF(COUNTIF(A$2:A322,A23)&gt;1,"Duplicate","OK")</f>
        <v>OK</v>
      </c>
      <c r="X23">
        <f t="shared" si="1"/>
        <v>5</v>
      </c>
    </row>
    <row r="24" spans="1:24" x14ac:dyDescent="0.25">
      <c r="A24" s="2" t="s">
        <v>116</v>
      </c>
      <c r="B24" s="2" t="str">
        <f>IFERROR(IF('RAW DATA'!B24="","Missing",TEXT('RAW DATA'!B24,"YYYY-MM-DAY")),"INVALID DATE")</f>
        <v>2024-05-15A24</v>
      </c>
      <c r="C24" s="2" t="s">
        <v>63</v>
      </c>
      <c r="D24" s="2" t="str">
        <f>PROPER('RAW DATA'!D24)</f>
        <v>Henry Bizimana</v>
      </c>
      <c r="E24" s="2" t="s">
        <v>33</v>
      </c>
      <c r="F24" s="2" t="s">
        <v>34</v>
      </c>
      <c r="G24" s="2" t="s">
        <v>43</v>
      </c>
      <c r="H24" s="2" t="s">
        <v>35</v>
      </c>
      <c r="I24" s="5">
        <f>IFERROR(IF('RAW DATA'!I24="",AVERAGE('RAW DATA'!I$2:I$301),'RAW DATA'!I24),0)</f>
        <v>7</v>
      </c>
      <c r="J24" s="2">
        <v>7</v>
      </c>
      <c r="K24" s="2" t="s">
        <v>24</v>
      </c>
      <c r="L24" s="2">
        <f>IFERROR(IF('RAW DATA'!L24="",3,'RAW DATA'!L24),3)</f>
        <v>5</v>
      </c>
      <c r="M24" s="2" t="s">
        <v>81</v>
      </c>
      <c r="N24" s="2" t="s">
        <v>26</v>
      </c>
      <c r="O24" s="2">
        <v>1</v>
      </c>
      <c r="P24" s="2" t="s">
        <v>13</v>
      </c>
      <c r="Q24" s="9" t="s">
        <v>67</v>
      </c>
      <c r="R24" s="2" t="str">
        <f>IFERROR(TEXT('RAW DATA'!B24,"MMMM"),"UKNNOWN")</f>
        <v>May</v>
      </c>
      <c r="S24" s="2">
        <f>IFERROR(MONTH('RAW DATA'!B24),0)</f>
        <v>5</v>
      </c>
      <c r="T24" s="2" t="str">
        <f t="shared" si="0"/>
        <v>Q2</v>
      </c>
      <c r="U24" s="2" t="str">
        <f>IF('RAW DATA'!I24&gt;20,"High",IF('RAW DATA'!I24&gt;10,"Medium","Low"))</f>
        <v>Low</v>
      </c>
      <c r="V24" s="2" t="str">
        <f>IF('RAW DATA'!B24="","Yes","No")</f>
        <v>No</v>
      </c>
      <c r="W24" s="2" t="str">
        <f>IF(COUNTIF(A$2:A323,A24)&gt;1,"Duplicate","OK")</f>
        <v>OK</v>
      </c>
      <c r="X24">
        <f t="shared" si="1"/>
        <v>5</v>
      </c>
    </row>
    <row r="25" spans="1:24" x14ac:dyDescent="0.25">
      <c r="A25" s="3" t="s">
        <v>118</v>
      </c>
      <c r="B25" s="2" t="str">
        <f>IFERROR(IF('RAW DATA'!B25="","Missing",TEXT('RAW DATA'!B25,"YYYY-MM-DAY")),"INVALID DATE")</f>
        <v>2024-01-30A24</v>
      </c>
      <c r="C25" s="3" t="s">
        <v>56</v>
      </c>
      <c r="D25" s="2" t="str">
        <f>PROPER('RAW DATA'!D25)</f>
        <v>John Gasana</v>
      </c>
      <c r="E25" s="3" t="s">
        <v>41</v>
      </c>
      <c r="F25" s="3" t="s">
        <v>42</v>
      </c>
      <c r="G25" s="3" t="s">
        <v>22</v>
      </c>
      <c r="H25" s="3" t="s">
        <v>65</v>
      </c>
      <c r="I25" s="5">
        <f>IFERROR(IF('RAW DATA'!I25="",AVERAGE('RAW DATA'!I$2:I$301),'RAW DATA'!I25),0)</f>
        <v>7.9</v>
      </c>
      <c r="J25" s="3">
        <v>3.3</v>
      </c>
      <c r="K25" s="3" t="s">
        <v>24</v>
      </c>
      <c r="L25" s="2">
        <f>IFERROR(IF('RAW DATA'!L25="",3,'RAW DATA'!L25),3)</f>
        <v>4</v>
      </c>
      <c r="M25" s="3" t="s">
        <v>25</v>
      </c>
      <c r="N25" s="3" t="s">
        <v>26</v>
      </c>
      <c r="O25" s="3">
        <v>0</v>
      </c>
      <c r="P25" s="3" t="s">
        <v>27</v>
      </c>
      <c r="Q25" s="10" t="s">
        <v>60</v>
      </c>
      <c r="R25" s="2" t="str">
        <f>IFERROR(TEXT('RAW DATA'!B25,"MMMM"),"UKNNOWN")</f>
        <v>January</v>
      </c>
      <c r="S25" s="2">
        <f>IFERROR(MONTH('RAW DATA'!B25),0)</f>
        <v>1</v>
      </c>
      <c r="T25" s="3" t="str">
        <f t="shared" si="0"/>
        <v>Q1</v>
      </c>
      <c r="U25" s="3" t="str">
        <f>IF('RAW DATA'!I25&gt;20,"High",IF('RAW DATA'!I25&gt;10,"Medium","Low"))</f>
        <v>Low</v>
      </c>
      <c r="V25" s="3" t="str">
        <f>IF('RAW DATA'!B25="","Yes","No")</f>
        <v>No</v>
      </c>
      <c r="W25" s="2" t="str">
        <f>IF(COUNTIF(A$2:A324,A25)&gt;1,"Duplicate","OK")</f>
        <v>OK</v>
      </c>
      <c r="X25">
        <f t="shared" si="1"/>
        <v>4</v>
      </c>
    </row>
    <row r="26" spans="1:24" x14ac:dyDescent="0.25">
      <c r="A26" s="2" t="s">
        <v>120</v>
      </c>
      <c r="B26" s="2" t="str">
        <f>IFERROR(IF('RAW DATA'!B26="","Missing",TEXT('RAW DATA'!B26,"YYYY-MM-DAY")),"INVALID DATE")</f>
        <v>2024-09-17A24</v>
      </c>
      <c r="C26" s="2" t="s">
        <v>18</v>
      </c>
      <c r="D26" s="2" t="str">
        <f>PROPER('RAW DATA'!D26)</f>
        <v>Bob Nshimiyimana</v>
      </c>
      <c r="E26" s="2" t="s">
        <v>20</v>
      </c>
      <c r="F26" s="2" t="s">
        <v>21</v>
      </c>
      <c r="G26" s="2" t="s">
        <v>41</v>
      </c>
      <c r="H26" s="2" t="s">
        <v>72</v>
      </c>
      <c r="I26" s="5">
        <f>IFERROR(IF('RAW DATA'!I26="",AVERAGE('RAW DATA'!I$2:I$301),'RAW DATA'!I26),0)</f>
        <v>8.6999999999999993</v>
      </c>
      <c r="J26" s="2">
        <v>3.4</v>
      </c>
      <c r="K26" s="2" t="s">
        <v>26</v>
      </c>
      <c r="L26" s="2">
        <f>IFERROR(IF('RAW DATA'!L26="",3,'RAW DATA'!L26),3)</f>
        <v>2</v>
      </c>
      <c r="M26" s="2" t="s">
        <v>51</v>
      </c>
      <c r="N26" s="2" t="s">
        <v>26</v>
      </c>
      <c r="O26" s="2">
        <v>1</v>
      </c>
      <c r="P26" s="2" t="s">
        <v>45</v>
      </c>
      <c r="Q26" s="9" t="s">
        <v>28</v>
      </c>
      <c r="R26" s="2" t="str">
        <f>IFERROR(TEXT('RAW DATA'!B26,"MMMM"),"UKNNOWN")</f>
        <v>September</v>
      </c>
      <c r="S26" s="2">
        <f>IFERROR(MONTH('RAW DATA'!B26),0)</f>
        <v>9</v>
      </c>
      <c r="T26" s="2" t="str">
        <f t="shared" si="0"/>
        <v>Q3</v>
      </c>
      <c r="U26" s="2" t="str">
        <f>IF('RAW DATA'!I26&gt;20,"High",IF('RAW DATA'!I26&gt;10,"Medium","Low"))</f>
        <v>Low</v>
      </c>
      <c r="V26" s="2" t="str">
        <f>IF('RAW DATA'!B26="","Yes","No")</f>
        <v>No</v>
      </c>
      <c r="W26" s="2" t="str">
        <f>IF(COUNTIF(A$2:A325,A26)&gt;1,"Duplicate","OK")</f>
        <v>OK</v>
      </c>
      <c r="X26">
        <f t="shared" si="1"/>
        <v>2</v>
      </c>
    </row>
    <row r="27" spans="1:24" x14ac:dyDescent="0.25">
      <c r="A27" s="3" t="s">
        <v>123</v>
      </c>
      <c r="B27" s="2" t="str">
        <f>IFERROR(IF('RAW DATA'!B27="","Missing",TEXT('RAW DATA'!B27,"YYYY-MM-DAY")),"INVALID DATE")</f>
        <v>2024-10-31A24</v>
      </c>
      <c r="C27" s="3" t="s">
        <v>105</v>
      </c>
      <c r="D27" s="2" t="str">
        <f>PROPER('RAW DATA'!D27)</f>
        <v>Alice Uwimana</v>
      </c>
      <c r="E27" s="3" t="s">
        <v>20</v>
      </c>
      <c r="F27" s="3" t="s">
        <v>21</v>
      </c>
      <c r="G27" s="3" t="s">
        <v>43</v>
      </c>
      <c r="H27" s="3" t="s">
        <v>80</v>
      </c>
      <c r="I27" s="5">
        <f>IFERROR(IF('RAW DATA'!I27="",AVERAGE('RAW DATA'!I$2:I$301),'RAW DATA'!I27),0)</f>
        <v>5.7</v>
      </c>
      <c r="J27" s="3">
        <v>2.6</v>
      </c>
      <c r="K27" s="3" t="s">
        <v>24</v>
      </c>
      <c r="L27" s="2">
        <f>IFERROR(IF('RAW DATA'!L27="",3,'RAW DATA'!L27),3)</f>
        <v>4</v>
      </c>
      <c r="M27" s="3" t="s">
        <v>81</v>
      </c>
      <c r="N27" s="3" t="s">
        <v>26</v>
      </c>
      <c r="O27" s="3">
        <v>1</v>
      </c>
      <c r="P27" s="3" t="s">
        <v>66</v>
      </c>
      <c r="Q27" s="10" t="s">
        <v>107</v>
      </c>
      <c r="R27" s="2" t="str">
        <f>IFERROR(TEXT('RAW DATA'!B27,"MMMM"),"UKNNOWN")</f>
        <v>October</v>
      </c>
      <c r="S27" s="2">
        <f>IFERROR(MONTH('RAW DATA'!B27),0)</f>
        <v>10</v>
      </c>
      <c r="T27" s="3" t="str">
        <f t="shared" si="0"/>
        <v>Q4</v>
      </c>
      <c r="U27" s="3" t="str">
        <f>IF('RAW DATA'!I27&gt;20,"High",IF('RAW DATA'!I27&gt;10,"Medium","Low"))</f>
        <v>Low</v>
      </c>
      <c r="V27" s="3" t="str">
        <f>IF('RAW DATA'!B27="","Yes","No")</f>
        <v>No</v>
      </c>
      <c r="W27" s="2" t="str">
        <f>IF(COUNTIF(A$2:A326,A27)&gt;1,"Duplicate","OK")</f>
        <v>OK</v>
      </c>
      <c r="X27">
        <f t="shared" si="1"/>
        <v>4</v>
      </c>
    </row>
    <row r="28" spans="1:24" x14ac:dyDescent="0.25">
      <c r="A28" s="2" t="s">
        <v>126</v>
      </c>
      <c r="B28" s="2" t="str">
        <f>IFERROR(IF('RAW DATA'!B28="","Missing",TEXT('RAW DATA'!B28,"YYYY-MM-DAY")),"INVALID DATE")</f>
        <v>2024-05-15A24</v>
      </c>
      <c r="C28" s="2" t="s">
        <v>39</v>
      </c>
      <c r="D28" s="2" t="str">
        <f>PROPER('RAW DATA'!D28)</f>
        <v>Grace Uwase</v>
      </c>
      <c r="E28" s="2" t="s">
        <v>41</v>
      </c>
      <c r="F28" s="2" t="s">
        <v>42</v>
      </c>
      <c r="G28" s="2" t="s">
        <v>22</v>
      </c>
      <c r="H28" s="2" t="s">
        <v>58</v>
      </c>
      <c r="I28" s="5">
        <f>IFERROR(IF('RAW DATA'!I28="",AVERAGE('RAW DATA'!I$2:I$301),'RAW DATA'!I28),0)</f>
        <v>10.9</v>
      </c>
      <c r="J28" s="2">
        <v>6.1</v>
      </c>
      <c r="K28" s="2" t="s">
        <v>24</v>
      </c>
      <c r="L28" s="2">
        <f>IFERROR(IF('RAW DATA'!L28="",3,'RAW DATA'!L28),3)</f>
        <v>4</v>
      </c>
      <c r="M28" s="2" t="s">
        <v>25</v>
      </c>
      <c r="N28" s="2" t="s">
        <v>26</v>
      </c>
      <c r="O28" s="2">
        <v>0</v>
      </c>
      <c r="P28" s="2" t="s">
        <v>45</v>
      </c>
      <c r="Q28" s="9" t="s">
        <v>46</v>
      </c>
      <c r="R28" s="2" t="str">
        <f>IFERROR(TEXT('RAW DATA'!B28,"MMMM"),"UKNNOWN")</f>
        <v>May</v>
      </c>
      <c r="S28" s="2">
        <f>IFERROR(MONTH('RAW DATA'!B28),0)</f>
        <v>5</v>
      </c>
      <c r="T28" s="2" t="str">
        <f t="shared" si="0"/>
        <v>Q2</v>
      </c>
      <c r="U28" s="2" t="str">
        <f>IF('RAW DATA'!I28&gt;20,"High",IF('RAW DATA'!I28&gt;10,"Medium","Low"))</f>
        <v>Medium</v>
      </c>
      <c r="V28" s="2" t="str">
        <f>IF('RAW DATA'!B28="","Yes","No")</f>
        <v>No</v>
      </c>
      <c r="W28" s="2" t="str">
        <f>IF(COUNTIF(A$2:A327,A28)&gt;1,"Duplicate","OK")</f>
        <v>OK</v>
      </c>
      <c r="X28">
        <f t="shared" si="1"/>
        <v>4</v>
      </c>
    </row>
    <row r="29" spans="1:24" x14ac:dyDescent="0.25">
      <c r="A29" s="3" t="s">
        <v>127</v>
      </c>
      <c r="B29" s="2" t="str">
        <f>IFERROR(IF('RAW DATA'!B29="","Missing",TEXT('RAW DATA'!B29,"YYYY-MM-DAY")),"INVALID DATE")</f>
        <v>2024-10-2A24</v>
      </c>
      <c r="C29" s="3" t="s">
        <v>31</v>
      </c>
      <c r="D29" s="2" t="str">
        <f>PROPER('RAW DATA'!D29)</f>
        <v>David Habimana</v>
      </c>
      <c r="E29" s="3" t="s">
        <v>33</v>
      </c>
      <c r="F29" s="3" t="s">
        <v>34</v>
      </c>
      <c r="G29" s="3" t="s">
        <v>43</v>
      </c>
      <c r="H29" s="3" t="s">
        <v>35</v>
      </c>
      <c r="I29" s="5">
        <f>IFERROR(IF('RAW DATA'!I29="",AVERAGE('RAW DATA'!I$2:I$301),'RAW DATA'!I29),0)</f>
        <v>6.4</v>
      </c>
      <c r="J29" s="3">
        <v>4</v>
      </c>
      <c r="K29" s="3" t="s">
        <v>24</v>
      </c>
      <c r="L29" s="2">
        <f>IFERROR(IF('RAW DATA'!L29="",3,'RAW DATA'!L29),3)</f>
        <v>4</v>
      </c>
      <c r="M29" s="3" t="s">
        <v>81</v>
      </c>
      <c r="N29" s="3" t="s">
        <v>26</v>
      </c>
      <c r="O29" s="3">
        <v>0</v>
      </c>
      <c r="P29" s="3" t="s">
        <v>13</v>
      </c>
      <c r="Q29" s="10" t="s">
        <v>36</v>
      </c>
      <c r="R29" s="2" t="str">
        <f>IFERROR(TEXT('RAW DATA'!B29,"MMMM"),"UKNNOWN")</f>
        <v>October</v>
      </c>
      <c r="S29" s="2">
        <f>IFERROR(MONTH('RAW DATA'!B29),0)</f>
        <v>10</v>
      </c>
      <c r="T29" s="3" t="str">
        <f t="shared" si="0"/>
        <v>Q4</v>
      </c>
      <c r="U29" s="3" t="str">
        <f>IF('RAW DATA'!I29&gt;20,"High",IF('RAW DATA'!I29&gt;10,"Medium","Low"))</f>
        <v>Low</v>
      </c>
      <c r="V29" s="3" t="str">
        <f>IF('RAW DATA'!B29="","Yes","No")</f>
        <v>No</v>
      </c>
      <c r="W29" s="2" t="str">
        <f>IF(COUNTIF(A$2:A328,A29)&gt;1,"Duplicate","OK")</f>
        <v>OK</v>
      </c>
      <c r="X29">
        <f t="shared" si="1"/>
        <v>4</v>
      </c>
    </row>
    <row r="30" spans="1:24" x14ac:dyDescent="0.25">
      <c r="A30" s="2" t="s">
        <v>129</v>
      </c>
      <c r="B30" s="2" t="str">
        <f>IFERROR(IF('RAW DATA'!B30="","Missing",TEXT('RAW DATA'!B30,"YYYY-MM-DAY")),"INVALID DATE")</f>
        <v>2024-08-12A24</v>
      </c>
      <c r="C30" s="2" t="s">
        <v>85</v>
      </c>
      <c r="D30" s="2" t="str">
        <f>PROPER('RAW DATA'!D30)</f>
        <v>Irene Mutesi</v>
      </c>
      <c r="E30" s="2" t="s">
        <v>20</v>
      </c>
      <c r="F30" s="2" t="s">
        <v>21</v>
      </c>
      <c r="G30" s="2" t="s">
        <v>43</v>
      </c>
      <c r="H30" s="2" t="s">
        <v>58</v>
      </c>
      <c r="I30" s="5">
        <f>IFERROR(IF('RAW DATA'!I30="",AVERAGE('RAW DATA'!I$2:I$301),'RAW DATA'!I30),0)</f>
        <v>6.8</v>
      </c>
      <c r="J30" s="2">
        <v>1.4</v>
      </c>
      <c r="K30" s="2" t="s">
        <v>24</v>
      </c>
      <c r="L30" s="2">
        <f>IFERROR(IF('RAW DATA'!L30="",3,'RAW DATA'!L30),3)</f>
        <v>5</v>
      </c>
      <c r="M30" s="2" t="s">
        <v>81</v>
      </c>
      <c r="N30" s="2" t="s">
        <v>26</v>
      </c>
      <c r="O30" s="2">
        <v>0</v>
      </c>
      <c r="P30" s="2" t="s">
        <v>27</v>
      </c>
      <c r="Q30" s="9" t="s">
        <v>87</v>
      </c>
      <c r="R30" s="2" t="str">
        <f>IFERROR(TEXT('RAW DATA'!B30,"MMMM"),"UKNNOWN")</f>
        <v>August</v>
      </c>
      <c r="S30" s="2">
        <f>IFERROR(MONTH('RAW DATA'!B30),0)</f>
        <v>8</v>
      </c>
      <c r="T30" s="2" t="str">
        <f t="shared" si="0"/>
        <v>Q3</v>
      </c>
      <c r="U30" s="2" t="str">
        <f>IF('RAW DATA'!I30&gt;20,"High",IF('RAW DATA'!I30&gt;10,"Medium","Low"))</f>
        <v>Low</v>
      </c>
      <c r="V30" s="2" t="str">
        <f>IF('RAW DATA'!B30="","Yes","No")</f>
        <v>No</v>
      </c>
      <c r="W30" s="2" t="str">
        <f>IF(COUNTIF(A$2:A329,A30)&gt;1,"Duplicate","OK")</f>
        <v>OK</v>
      </c>
      <c r="X30">
        <f t="shared" si="1"/>
        <v>5</v>
      </c>
    </row>
    <row r="31" spans="1:24" x14ac:dyDescent="0.25">
      <c r="A31" s="3" t="s">
        <v>131</v>
      </c>
      <c r="B31" s="2" t="str">
        <f>IFERROR(IF('RAW DATA'!B31="","Missing",TEXT('RAW DATA'!B31,"YYYY-MM-DAY")),"INVALID DATE")</f>
        <v>2024-05-15A24</v>
      </c>
      <c r="C31" s="3" t="s">
        <v>18</v>
      </c>
      <c r="D31" s="2" t="str">
        <f>PROPER('RAW DATA'!D31)</f>
        <v>Bob Nshimiyimana</v>
      </c>
      <c r="E31" s="3" t="s">
        <v>20</v>
      </c>
      <c r="F31" s="3" t="s">
        <v>21</v>
      </c>
      <c r="G31" s="3" t="s">
        <v>43</v>
      </c>
      <c r="H31" s="3" t="s">
        <v>95</v>
      </c>
      <c r="I31" s="5">
        <f>IFERROR(IF('RAW DATA'!I31="",AVERAGE('RAW DATA'!I$2:I$301),'RAW DATA'!I31),0)</f>
        <v>11.8</v>
      </c>
      <c r="J31" s="3">
        <v>1.9</v>
      </c>
      <c r="K31" s="3" t="s">
        <v>26</v>
      </c>
      <c r="L31" s="2">
        <f>IFERROR(IF('RAW DATA'!L31="",3,'RAW DATA'!L31),3)</f>
        <v>3</v>
      </c>
      <c r="M31" s="3" t="s">
        <v>90</v>
      </c>
      <c r="N31" s="3" t="s">
        <v>26</v>
      </c>
      <c r="O31" s="3">
        <v>1</v>
      </c>
      <c r="P31" s="3" t="s">
        <v>13</v>
      </c>
      <c r="Q31" s="10" t="s">
        <v>28</v>
      </c>
      <c r="R31" s="2" t="str">
        <f>IFERROR(TEXT('RAW DATA'!B31,"MMMM"),"UKNNOWN")</f>
        <v>May</v>
      </c>
      <c r="S31" s="2">
        <f>IFERROR(MONTH('RAW DATA'!B31),0)</f>
        <v>5</v>
      </c>
      <c r="T31" s="3" t="str">
        <f t="shared" si="0"/>
        <v>Q2</v>
      </c>
      <c r="U31" s="3" t="str">
        <f>IF('RAW DATA'!I31&gt;20,"High",IF('RAW DATA'!I31&gt;10,"Medium","Low"))</f>
        <v>Medium</v>
      </c>
      <c r="V31" s="3" t="str">
        <f>IF('RAW DATA'!B31="","Yes","No")</f>
        <v>No</v>
      </c>
      <c r="W31" s="2" t="str">
        <f>IF(COUNTIF(A$2:A330,A31)&gt;1,"Duplicate","OK")</f>
        <v>OK</v>
      </c>
      <c r="X31">
        <f t="shared" si="1"/>
        <v>3</v>
      </c>
    </row>
    <row r="32" spans="1:24" x14ac:dyDescent="0.25">
      <c r="A32" s="2" t="s">
        <v>132</v>
      </c>
      <c r="B32" s="2" t="str">
        <f>IFERROR(IF('RAW DATA'!B32="","Missing",TEXT('RAW DATA'!B32,"YYYY-MM-DAY")),"INVALID DATE")</f>
        <v>2024-01-27A24</v>
      </c>
      <c r="C32" s="2" t="s">
        <v>18</v>
      </c>
      <c r="D32" s="2" t="str">
        <f>PROPER('RAW DATA'!D32)</f>
        <v>Bob Nshimiyimana</v>
      </c>
      <c r="E32" s="2" t="s">
        <v>20</v>
      </c>
      <c r="F32" s="2" t="s">
        <v>21</v>
      </c>
      <c r="G32" s="2" t="s">
        <v>43</v>
      </c>
      <c r="H32" s="2" t="s">
        <v>95</v>
      </c>
      <c r="I32" s="5">
        <f>IFERROR(IF('RAW DATA'!I32="",AVERAGE('RAW DATA'!I$2:I$301),'RAW DATA'!I32),0)</f>
        <v>4.3</v>
      </c>
      <c r="J32" s="2">
        <v>1.2</v>
      </c>
      <c r="K32" s="2" t="s">
        <v>26</v>
      </c>
      <c r="L32" s="2">
        <f>IFERROR(IF('RAW DATA'!L32="",3,'RAW DATA'!L32),3)</f>
        <v>1</v>
      </c>
      <c r="M32" s="2" t="s">
        <v>51</v>
      </c>
      <c r="N32" s="2" t="s">
        <v>24</v>
      </c>
      <c r="O32" s="2">
        <v>1</v>
      </c>
      <c r="P32" s="2" t="s">
        <v>66</v>
      </c>
      <c r="Q32" s="9" t="s">
        <v>28</v>
      </c>
      <c r="R32" s="2" t="str">
        <f>IFERROR(TEXT('RAW DATA'!B32,"MMMM"),"UKNNOWN")</f>
        <v>January</v>
      </c>
      <c r="S32" s="2">
        <f>IFERROR(MONTH('RAW DATA'!B32),0)</f>
        <v>1</v>
      </c>
      <c r="T32" s="2" t="str">
        <f t="shared" si="0"/>
        <v>Q1</v>
      </c>
      <c r="U32" s="2" t="str">
        <f>IF('RAW DATA'!I32&gt;20,"High",IF('RAW DATA'!I32&gt;10,"Medium","Low"))</f>
        <v>Low</v>
      </c>
      <c r="V32" s="2" t="str">
        <f>IF('RAW DATA'!B32="","Yes","No")</f>
        <v>No</v>
      </c>
      <c r="W32" s="2" t="str">
        <f>IF(COUNTIF(A$2:A331,A32)&gt;1,"Duplicate","OK")</f>
        <v>OK</v>
      </c>
      <c r="X32">
        <f t="shared" si="1"/>
        <v>1</v>
      </c>
    </row>
    <row r="33" spans="1:24" x14ac:dyDescent="0.25">
      <c r="A33" s="3" t="s">
        <v>134</v>
      </c>
      <c r="B33" s="2" t="str">
        <f>IFERROR(IF('RAW DATA'!B33="","Missing",TEXT('RAW DATA'!B33,"YYYY-MM-DAY")),"INVALID DATE")</f>
        <v>2024-12-27A24</v>
      </c>
      <c r="C33" s="3" t="s">
        <v>39</v>
      </c>
      <c r="D33" s="2" t="str">
        <f>PROPER('RAW DATA'!D33)</f>
        <v>Grace Uwase</v>
      </c>
      <c r="E33" s="3" t="s">
        <v>41</v>
      </c>
      <c r="F33" s="3" t="s">
        <v>42</v>
      </c>
      <c r="G33" s="3" t="s">
        <v>43</v>
      </c>
      <c r="H33" s="3" t="s">
        <v>80</v>
      </c>
      <c r="I33" s="5">
        <f>IFERROR(IF('RAW DATA'!I33="",AVERAGE('RAW DATA'!I$2:I$301),'RAW DATA'!I33),0)</f>
        <v>6.6</v>
      </c>
      <c r="J33" s="3">
        <v>3.6</v>
      </c>
      <c r="K33" s="3" t="s">
        <v>24</v>
      </c>
      <c r="L33" s="2">
        <f>IFERROR(IF('RAW DATA'!L33="",3,'RAW DATA'!L33),3)</f>
        <v>5</v>
      </c>
      <c r="M33" s="3" t="s">
        <v>51</v>
      </c>
      <c r="N33" s="3" t="s">
        <v>26</v>
      </c>
      <c r="O33" s="3">
        <v>0</v>
      </c>
      <c r="P33" s="3" t="s">
        <v>27</v>
      </c>
      <c r="Q33" s="10" t="s">
        <v>46</v>
      </c>
      <c r="R33" s="2" t="str">
        <f>IFERROR(TEXT('RAW DATA'!B33,"MMMM"),"UKNNOWN")</f>
        <v>December</v>
      </c>
      <c r="S33" s="2">
        <f>IFERROR(MONTH('RAW DATA'!B33),0)</f>
        <v>12</v>
      </c>
      <c r="T33" s="3" t="str">
        <f t="shared" si="0"/>
        <v>Q4</v>
      </c>
      <c r="U33" s="3" t="str">
        <f>IF('RAW DATA'!I33&gt;20,"High",IF('RAW DATA'!I33&gt;10,"Medium","Low"))</f>
        <v>Low</v>
      </c>
      <c r="V33" s="3" t="str">
        <f>IF('RAW DATA'!B33="","Yes","No")</f>
        <v>No</v>
      </c>
      <c r="W33" s="2" t="str">
        <f>IF(COUNTIF(A$2:A332,A33)&gt;1,"Duplicate","OK")</f>
        <v>OK</v>
      </c>
      <c r="X33">
        <f t="shared" si="1"/>
        <v>5</v>
      </c>
    </row>
    <row r="34" spans="1:24" x14ac:dyDescent="0.25">
      <c r="A34" s="2" t="s">
        <v>136</v>
      </c>
      <c r="B34" s="2" t="str">
        <f>IFERROR(IF('RAW DATA'!B34="","Missing",TEXT('RAW DATA'!B34,"YYYY-MM-DAY")),"INVALID DATE")</f>
        <v>2024-10-9A24</v>
      </c>
      <c r="C34" s="2" t="s">
        <v>70</v>
      </c>
      <c r="D34" s="2" t="str">
        <f>PROPER('RAW DATA'!D34)</f>
        <v>Claire Mukamana</v>
      </c>
      <c r="E34" s="2" t="s">
        <v>33</v>
      </c>
      <c r="F34" s="2" t="s">
        <v>34</v>
      </c>
      <c r="G34" s="2" t="s">
        <v>43</v>
      </c>
      <c r="H34" s="2" t="s">
        <v>72</v>
      </c>
      <c r="I34" s="5">
        <f>IFERROR(IF('RAW DATA'!I34="",AVERAGE('RAW DATA'!I$2:I$301),'RAW DATA'!I34),0)</f>
        <v>7.2</v>
      </c>
      <c r="J34" s="2">
        <v>4.2</v>
      </c>
      <c r="K34" s="2" t="s">
        <v>24</v>
      </c>
      <c r="L34" s="2">
        <f>IFERROR(IF('RAW DATA'!L34="",3,'RAW DATA'!L34),3)</f>
        <v>4</v>
      </c>
      <c r="M34" s="2" t="s">
        <v>25</v>
      </c>
      <c r="N34" s="2" t="s">
        <v>26</v>
      </c>
      <c r="O34" s="2">
        <v>0</v>
      </c>
      <c r="P34" s="2" t="s">
        <v>66</v>
      </c>
      <c r="Q34" s="9" t="s">
        <v>73</v>
      </c>
      <c r="R34" s="2" t="str">
        <f>IFERROR(TEXT('RAW DATA'!B34,"MMMM"),"UKNNOWN")</f>
        <v>October</v>
      </c>
      <c r="S34" s="2">
        <f>IFERROR(MONTH('RAW DATA'!B34),0)</f>
        <v>10</v>
      </c>
      <c r="T34" s="2" t="str">
        <f t="shared" si="0"/>
        <v>Q4</v>
      </c>
      <c r="U34" s="2" t="str">
        <f>IF('RAW DATA'!I34&gt;20,"High",IF('RAW DATA'!I34&gt;10,"Medium","Low"))</f>
        <v>Low</v>
      </c>
      <c r="V34" s="2" t="str">
        <f>IF('RAW DATA'!B34="","Yes","No")</f>
        <v>No</v>
      </c>
      <c r="W34" s="2" t="str">
        <f>IF(COUNTIF(A$2:A333,A34)&gt;1,"Duplicate","OK")</f>
        <v>OK</v>
      </c>
      <c r="X34">
        <f t="shared" si="1"/>
        <v>4</v>
      </c>
    </row>
    <row r="35" spans="1:24" x14ac:dyDescent="0.25">
      <c r="A35" s="3" t="s">
        <v>138</v>
      </c>
      <c r="B35" s="2" t="str">
        <f>IFERROR(IF('RAW DATA'!B35="","Missing",TEXT('RAW DATA'!B35,"YYYY-MM-DAY")),"INVALID DATE")</f>
        <v>2024-06-30A24</v>
      </c>
      <c r="C35" s="3" t="s">
        <v>85</v>
      </c>
      <c r="D35" s="2" t="str">
        <f>PROPER('RAW DATA'!D35)</f>
        <v>Irene Mutesi</v>
      </c>
      <c r="E35" s="3" t="s">
        <v>20</v>
      </c>
      <c r="F35" s="3" t="s">
        <v>21</v>
      </c>
      <c r="G35" s="3" t="s">
        <v>43</v>
      </c>
      <c r="H35" s="3" t="s">
        <v>65</v>
      </c>
      <c r="I35" s="5">
        <f>IFERROR(IF('RAW DATA'!I35="",AVERAGE('RAW DATA'!I$2:I$301),'RAW DATA'!I35),0)</f>
        <v>10.3</v>
      </c>
      <c r="J35" s="3">
        <v>2.6</v>
      </c>
      <c r="K35" s="3" t="s">
        <v>24</v>
      </c>
      <c r="L35" s="2">
        <f>IFERROR(IF('RAW DATA'!L35="",3,'RAW DATA'!L35),3)</f>
        <v>4</v>
      </c>
      <c r="M35" s="3" t="s">
        <v>59</v>
      </c>
      <c r="N35" s="3" t="s">
        <v>26</v>
      </c>
      <c r="O35" s="3">
        <v>0</v>
      </c>
      <c r="P35" s="3" t="s">
        <v>13</v>
      </c>
      <c r="Q35" s="10" t="s">
        <v>87</v>
      </c>
      <c r="R35" s="2" t="str">
        <f>IFERROR(TEXT('RAW DATA'!B35,"MMMM"),"UKNNOWN")</f>
        <v>June</v>
      </c>
      <c r="S35" s="2">
        <f>IFERROR(MONTH('RAW DATA'!B35),0)</f>
        <v>6</v>
      </c>
      <c r="T35" s="3" t="str">
        <f t="shared" si="0"/>
        <v>Q2</v>
      </c>
      <c r="U35" s="3" t="str">
        <f>IF('RAW DATA'!I35&gt;20,"High",IF('RAW DATA'!I35&gt;10,"Medium","Low"))</f>
        <v>Medium</v>
      </c>
      <c r="V35" s="3" t="str">
        <f>IF('RAW DATA'!B35="","Yes","No")</f>
        <v>No</v>
      </c>
      <c r="W35" s="2" t="str">
        <f>IF(COUNTIF(A$2:A334,A35)&gt;1,"Duplicate","OK")</f>
        <v>OK</v>
      </c>
      <c r="X35">
        <f t="shared" si="1"/>
        <v>4</v>
      </c>
    </row>
    <row r="36" spans="1:24" x14ac:dyDescent="0.25">
      <c r="A36" s="2" t="s">
        <v>140</v>
      </c>
      <c r="B36" s="2" t="str">
        <f>IFERROR(IF('RAW DATA'!B36="","Missing",TEXT('RAW DATA'!B36,"YYYY-MM-DAY")),"INVALID DATE")</f>
        <v>2024-01-13A24</v>
      </c>
      <c r="C36" s="2" t="s">
        <v>70</v>
      </c>
      <c r="D36" s="2" t="str">
        <f>PROPER('RAW DATA'!D36)</f>
        <v>Claire Mukamana</v>
      </c>
      <c r="E36" s="2" t="s">
        <v>33</v>
      </c>
      <c r="F36" s="2" t="s">
        <v>34</v>
      </c>
      <c r="G36" s="2" t="s">
        <v>43</v>
      </c>
      <c r="H36" s="2" t="s">
        <v>58</v>
      </c>
      <c r="I36" s="5">
        <f>IFERROR(IF('RAW DATA'!I36="",AVERAGE('RAW DATA'!I$2:I$301),'RAW DATA'!I36),0)</f>
        <v>7.8</v>
      </c>
      <c r="J36" s="2">
        <v>2.2000000000000002</v>
      </c>
      <c r="K36" s="2" t="s">
        <v>24</v>
      </c>
      <c r="L36" s="2">
        <f>IFERROR(IF('RAW DATA'!L36="",3,'RAW DATA'!L36),3)</f>
        <v>5</v>
      </c>
      <c r="M36" s="2" t="s">
        <v>59</v>
      </c>
      <c r="N36" s="2" t="s">
        <v>26</v>
      </c>
      <c r="O36" s="2">
        <v>0</v>
      </c>
      <c r="P36" s="2" t="s">
        <v>66</v>
      </c>
      <c r="Q36" s="9" t="s">
        <v>73</v>
      </c>
      <c r="R36" s="2" t="str">
        <f>IFERROR(TEXT('RAW DATA'!B36,"MMMM"),"UKNNOWN")</f>
        <v>January</v>
      </c>
      <c r="S36" s="2">
        <f>IFERROR(MONTH('RAW DATA'!B36),0)</f>
        <v>1</v>
      </c>
      <c r="T36" s="2" t="str">
        <f t="shared" si="0"/>
        <v>Q1</v>
      </c>
      <c r="U36" s="2" t="str">
        <f>IF('RAW DATA'!I36&gt;20,"High",IF('RAW DATA'!I36&gt;10,"Medium","Low"))</f>
        <v>Low</v>
      </c>
      <c r="V36" s="2" t="str">
        <f>IF('RAW DATA'!B36="","Yes","No")</f>
        <v>No</v>
      </c>
      <c r="W36" s="2" t="str">
        <f>IF(COUNTIF(A$2:A335,A36)&gt;1,"Duplicate","OK")</f>
        <v>OK</v>
      </c>
      <c r="X36">
        <f t="shared" si="1"/>
        <v>5</v>
      </c>
    </row>
    <row r="37" spans="1:24" x14ac:dyDescent="0.25">
      <c r="A37" s="3" t="s">
        <v>142</v>
      </c>
      <c r="B37" s="2" t="str">
        <f>IFERROR(IF('RAW DATA'!B37="","Missing",TEXT('RAW DATA'!B37,"YYYY-MM-DAY")),"INVALID DATE")</f>
        <v>2024-01-20A24</v>
      </c>
      <c r="C37" s="3" t="s">
        <v>63</v>
      </c>
      <c r="D37" s="2" t="str">
        <f>PROPER('RAW DATA'!D37)</f>
        <v>Henry Bizimana</v>
      </c>
      <c r="E37" s="3" t="s">
        <v>33</v>
      </c>
      <c r="F37" s="3" t="s">
        <v>34</v>
      </c>
      <c r="G37" s="3" t="s">
        <v>43</v>
      </c>
      <c r="H37" s="3" t="s">
        <v>23</v>
      </c>
      <c r="I37" s="5">
        <f>IFERROR(IF('RAW DATA'!I37="",AVERAGE('RAW DATA'!I$2:I$301),'RAW DATA'!I37),0)</f>
        <v>7.6041237113402103</v>
      </c>
      <c r="J37" s="3">
        <v>7.6</v>
      </c>
      <c r="K37" s="3" t="s">
        <v>24</v>
      </c>
      <c r="L37" s="2">
        <f>IFERROR(IF('RAW DATA'!L37="",3,'RAW DATA'!L37),3)</f>
        <v>4</v>
      </c>
      <c r="M37" s="3" t="s">
        <v>81</v>
      </c>
      <c r="N37" s="3" t="s">
        <v>26</v>
      </c>
      <c r="O37" s="3">
        <v>1</v>
      </c>
      <c r="P37" s="3" t="s">
        <v>13</v>
      </c>
      <c r="Q37" s="10" t="s">
        <v>67</v>
      </c>
      <c r="R37" s="2" t="str">
        <f>IFERROR(TEXT('RAW DATA'!B37,"MMMM"),"UKNNOWN")</f>
        <v>January</v>
      </c>
      <c r="S37" s="2">
        <f>IFERROR(MONTH('RAW DATA'!B37),0)</f>
        <v>1</v>
      </c>
      <c r="T37" s="3" t="str">
        <f t="shared" si="0"/>
        <v>Q1</v>
      </c>
      <c r="U37" s="3" t="str">
        <f>IF('RAW DATA'!I37&gt;20,"High",IF('RAW DATA'!I37&gt;10,"Medium","Low"))</f>
        <v>Low</v>
      </c>
      <c r="V37" s="3" t="str">
        <f>IF('RAW DATA'!B37="","Yes","No")</f>
        <v>No</v>
      </c>
      <c r="W37" s="2" t="str">
        <f>IF(COUNTIF(A$2:A336,A37)&gt;1,"Duplicate","OK")</f>
        <v>OK</v>
      </c>
      <c r="X37">
        <f t="shared" si="1"/>
        <v>4</v>
      </c>
    </row>
    <row r="38" spans="1:24" x14ac:dyDescent="0.25">
      <c r="A38" s="2" t="s">
        <v>144</v>
      </c>
      <c r="B38" s="2" t="str">
        <f>IFERROR(IF('RAW DATA'!B38="","Missing",TEXT('RAW DATA'!B38,"YYYY-MM-DAY")),"INVALID DATE")</f>
        <v>2024-07-23A24</v>
      </c>
      <c r="C38" s="2" t="s">
        <v>49</v>
      </c>
      <c r="D38" s="2" t="str">
        <f>PROPER('RAW DATA'!D38)</f>
        <v>Frank Nzeyimana</v>
      </c>
      <c r="E38" s="2" t="s">
        <v>41</v>
      </c>
      <c r="F38" s="2" t="s">
        <v>42</v>
      </c>
      <c r="G38" s="2" t="s">
        <v>22</v>
      </c>
      <c r="H38" s="2" t="s">
        <v>80</v>
      </c>
      <c r="I38" s="5">
        <f>IFERROR(IF('RAW DATA'!I38="",AVERAGE('RAW DATA'!I$2:I$301),'RAW DATA'!I38),0)</f>
        <v>7.8</v>
      </c>
      <c r="J38" s="2">
        <v>4.7</v>
      </c>
      <c r="K38" s="2" t="s">
        <v>24</v>
      </c>
      <c r="L38" s="2">
        <f>IFERROR(IF('RAW DATA'!L38="",3,'RAW DATA'!L38),3)</f>
        <v>5</v>
      </c>
      <c r="M38" s="2" t="s">
        <v>25</v>
      </c>
      <c r="N38" s="2" t="s">
        <v>26</v>
      </c>
      <c r="O38" s="2">
        <v>1</v>
      </c>
      <c r="P38" s="2" t="s">
        <v>27</v>
      </c>
      <c r="Q38" s="9" t="s">
        <v>53</v>
      </c>
      <c r="R38" s="2" t="str">
        <f>IFERROR(TEXT('RAW DATA'!B38,"MMMM"),"UKNNOWN")</f>
        <v>July</v>
      </c>
      <c r="S38" s="2">
        <f>IFERROR(MONTH('RAW DATA'!B38),0)</f>
        <v>7</v>
      </c>
      <c r="T38" s="2" t="str">
        <f t="shared" si="0"/>
        <v>Q3</v>
      </c>
      <c r="U38" s="2" t="str">
        <f>IF('RAW DATA'!I38&gt;20,"High",IF('RAW DATA'!I38&gt;10,"Medium","Low"))</f>
        <v>Low</v>
      </c>
      <c r="V38" s="2" t="str">
        <f>IF('RAW DATA'!B38="","Yes","No")</f>
        <v>No</v>
      </c>
      <c r="W38" s="2" t="str">
        <f>IF(COUNTIF(A$2:A337,A38)&gt;1,"Duplicate","OK")</f>
        <v>OK</v>
      </c>
      <c r="X38">
        <f t="shared" si="1"/>
        <v>5</v>
      </c>
    </row>
    <row r="39" spans="1:24" x14ac:dyDescent="0.25">
      <c r="A39" s="3" t="s">
        <v>146</v>
      </c>
      <c r="B39" s="2" t="str">
        <f>IFERROR(IF('RAW DATA'!B39="","Missing",TEXT('RAW DATA'!B39,"YYYY-MM-DAY")),"INVALID DATE")</f>
        <v>2024-02-29A24</v>
      </c>
      <c r="C39" s="3" t="s">
        <v>78</v>
      </c>
      <c r="D39" s="2" t="str">
        <f>PROPER('RAW DATA'!D39)</f>
        <v>Eve Ingabire</v>
      </c>
      <c r="E39" s="3" t="s">
        <v>20</v>
      </c>
      <c r="F39" s="3" t="s">
        <v>21</v>
      </c>
      <c r="G39" s="3" t="s">
        <v>43</v>
      </c>
      <c r="H39" s="3" t="s">
        <v>44</v>
      </c>
      <c r="I39" s="5">
        <f>IFERROR(IF('RAW DATA'!I39="",AVERAGE('RAW DATA'!I$2:I$301),'RAW DATA'!I39),0)</f>
        <v>11.3</v>
      </c>
      <c r="J39" s="3">
        <v>8.6</v>
      </c>
      <c r="K39" s="3" t="s">
        <v>24</v>
      </c>
      <c r="L39" s="2">
        <f>IFERROR(IF('RAW DATA'!L39="",3,'RAW DATA'!L39),3)</f>
        <v>3</v>
      </c>
      <c r="M39" s="3" t="s">
        <v>51</v>
      </c>
      <c r="N39" s="3" t="s">
        <v>26</v>
      </c>
      <c r="O39" s="3">
        <v>1</v>
      </c>
      <c r="P39" s="3" t="s">
        <v>66</v>
      </c>
      <c r="Q39" s="10" t="s">
        <v>82</v>
      </c>
      <c r="R39" s="3" t="str">
        <f>IFERROR(TEXT('RAW DATA'!B39,"MMMM"),"UKNNOWN")</f>
        <v>February</v>
      </c>
      <c r="S39" s="5">
        <f>IFERROR(MONTH('RAW DATA'!B39),0)</f>
        <v>2</v>
      </c>
      <c r="T39" s="3" t="str">
        <f t="shared" si="0"/>
        <v>Q1</v>
      </c>
      <c r="U39" s="3" t="str">
        <f>IF('RAW DATA'!I39&gt;20,"High",IF('RAW DATA'!I39&gt;10,"Medium","Low"))</f>
        <v>Medium</v>
      </c>
      <c r="V39" s="3" t="str">
        <f>IF('RAW DATA'!B39="","Yes","No")</f>
        <v>No</v>
      </c>
      <c r="W39" s="2" t="str">
        <f>IF(COUNTIF(A$2:A338,A39)&gt;1,"Duplicate","OK")</f>
        <v>OK</v>
      </c>
      <c r="X39">
        <f t="shared" si="1"/>
        <v>3</v>
      </c>
    </row>
    <row r="40" spans="1:24" x14ac:dyDescent="0.25">
      <c r="A40" s="2" t="s">
        <v>148</v>
      </c>
      <c r="B40" s="2" t="str">
        <f>IFERROR(IF('RAW DATA'!B40="","Missing",TEXT('RAW DATA'!B40,"YYYY-MM-DAY")),"INVALID DATE")</f>
        <v>2024-09-18A24</v>
      </c>
      <c r="C40" s="2" t="s">
        <v>18</v>
      </c>
      <c r="D40" s="2" t="str">
        <f>PROPER('RAW DATA'!D40)</f>
        <v>Bob Nshimiyimana</v>
      </c>
      <c r="E40" s="2" t="s">
        <v>20</v>
      </c>
      <c r="F40" s="2" t="s">
        <v>21</v>
      </c>
      <c r="G40" s="2" t="s">
        <v>22</v>
      </c>
      <c r="H40" s="2" t="s">
        <v>58</v>
      </c>
      <c r="I40" s="5">
        <f>IFERROR(IF('RAW DATA'!I40="",AVERAGE('RAW DATA'!I$2:I$301),'RAW DATA'!I40),0)</f>
        <v>5</v>
      </c>
      <c r="J40" s="2">
        <v>5.7</v>
      </c>
      <c r="K40" s="2" t="s">
        <v>26</v>
      </c>
      <c r="L40" s="2">
        <f>IFERROR(IF('RAW DATA'!L40="",3,'RAW DATA'!L40),3)</f>
        <v>3</v>
      </c>
      <c r="M40" s="2" t="s">
        <v>90</v>
      </c>
      <c r="N40" s="2" t="s">
        <v>24</v>
      </c>
      <c r="O40" s="2">
        <v>1</v>
      </c>
      <c r="P40" s="2" t="s">
        <v>66</v>
      </c>
      <c r="Q40" s="9" t="s">
        <v>28</v>
      </c>
      <c r="R40" s="2" t="str">
        <f>IFERROR(TEXT('RAW DATA'!B40,"MMMM"),"UKNNOWN")</f>
        <v>September</v>
      </c>
      <c r="S40" s="5">
        <f>IFERROR(MONTH('RAW DATA'!B40),0)</f>
        <v>9</v>
      </c>
      <c r="T40" s="2" t="str">
        <f t="shared" si="0"/>
        <v>Q3</v>
      </c>
      <c r="U40" s="2" t="str">
        <f>IF('RAW DATA'!I40&gt;20,"High",IF('RAW DATA'!I40&gt;10,"Medium","Low"))</f>
        <v>Low</v>
      </c>
      <c r="V40" s="2" t="str">
        <f>IF('RAW DATA'!B40="","Yes","No")</f>
        <v>No</v>
      </c>
      <c r="W40" s="2" t="str">
        <f>IF(COUNTIF(A$2:A339,A40)&gt;1,"Duplicate","OK")</f>
        <v>OK</v>
      </c>
      <c r="X40">
        <f t="shared" si="1"/>
        <v>3</v>
      </c>
    </row>
    <row r="41" spans="1:24" x14ac:dyDescent="0.25">
      <c r="A41" s="3" t="s">
        <v>150</v>
      </c>
      <c r="B41" s="2" t="str">
        <f>IFERROR(IF('RAW DATA'!B41="","Missing",TEXT('RAW DATA'!B41,"YYYY-MM-DAY")),"INVALID DATE")</f>
        <v>2024-11-15A24</v>
      </c>
      <c r="C41" s="3" t="s">
        <v>49</v>
      </c>
      <c r="D41" s="2" t="str">
        <f>PROPER('RAW DATA'!D41)</f>
        <v>Frank Nzeyimana</v>
      </c>
      <c r="E41" s="3" t="s">
        <v>41</v>
      </c>
      <c r="F41" s="3" t="s">
        <v>42</v>
      </c>
      <c r="G41" s="3" t="s">
        <v>43</v>
      </c>
      <c r="H41" s="3" t="s">
        <v>44</v>
      </c>
      <c r="I41" s="5">
        <f>IFERROR(IF('RAW DATA'!I41="",AVERAGE('RAW DATA'!I$2:I$301),'RAW DATA'!I41),0)</f>
        <v>7.2</v>
      </c>
      <c r="J41" s="3">
        <v>3.1</v>
      </c>
      <c r="K41" s="3" t="s">
        <v>24</v>
      </c>
      <c r="L41" s="2">
        <f>IFERROR(IF('RAW DATA'!L41="",3,'RAW DATA'!L41),3)</f>
        <v>5</v>
      </c>
      <c r="M41" s="3" t="s">
        <v>90</v>
      </c>
      <c r="N41" s="3" t="s">
        <v>26</v>
      </c>
      <c r="O41" s="3">
        <v>1</v>
      </c>
      <c r="P41" s="3" t="s">
        <v>52</v>
      </c>
      <c r="Q41" s="10" t="s">
        <v>53</v>
      </c>
      <c r="R41" s="3" t="str">
        <f>IFERROR(TEXT('RAW DATA'!B41,"MMMM"),"UKNNOWN")</f>
        <v>November</v>
      </c>
      <c r="S41" s="5">
        <f>IFERROR(MONTH('RAW DATA'!B41),0)</f>
        <v>11</v>
      </c>
      <c r="T41" s="3" t="str">
        <f t="shared" si="0"/>
        <v>Q4</v>
      </c>
      <c r="U41" s="3" t="str">
        <f>IF('RAW DATA'!I41&gt;20,"High",IF('RAW DATA'!I41&gt;10,"Medium","Low"))</f>
        <v>Low</v>
      </c>
      <c r="V41" s="3" t="str">
        <f>IF('RAW DATA'!B41="","Yes","No")</f>
        <v>No</v>
      </c>
      <c r="W41" s="2" t="str">
        <f>IF(COUNTIF(A$2:A340,A41)&gt;1,"Duplicate","OK")</f>
        <v>OK</v>
      </c>
      <c r="X41">
        <f t="shared" si="1"/>
        <v>5</v>
      </c>
    </row>
    <row r="42" spans="1:24" x14ac:dyDescent="0.25">
      <c r="A42" s="2" t="s">
        <v>152</v>
      </c>
      <c r="B42" s="2" t="str">
        <f>IFERROR(IF('RAW DATA'!B42="","Missing",TEXT('RAW DATA'!B42,"YYYY-MM-DAY")),"INVALID DATE")</f>
        <v>2024-10-10A24</v>
      </c>
      <c r="C42" s="2" t="s">
        <v>70</v>
      </c>
      <c r="D42" s="2" t="str">
        <f>PROPER('RAW DATA'!D42)</f>
        <v>Claire Mukamana</v>
      </c>
      <c r="E42" s="2" t="s">
        <v>33</v>
      </c>
      <c r="F42" s="2" t="s">
        <v>34</v>
      </c>
      <c r="G42" s="2" t="s">
        <v>41</v>
      </c>
      <c r="H42" s="2" t="s">
        <v>35</v>
      </c>
      <c r="I42" s="5">
        <f>IFERROR(IF('RAW DATA'!I42="",AVERAGE('RAW DATA'!I$2:I$301),'RAW DATA'!I42),0)</f>
        <v>9.6</v>
      </c>
      <c r="J42" s="2">
        <v>6.8</v>
      </c>
      <c r="K42" s="2" t="s">
        <v>24</v>
      </c>
      <c r="L42" s="2">
        <f>IFERROR(IF('RAW DATA'!L42="",3,'RAW DATA'!L42),3)</f>
        <v>3</v>
      </c>
      <c r="M42" s="2" t="s">
        <v>59</v>
      </c>
      <c r="N42" s="2" t="s">
        <v>26</v>
      </c>
      <c r="O42" s="2">
        <v>0</v>
      </c>
      <c r="P42" s="2" t="s">
        <v>27</v>
      </c>
      <c r="Q42" s="9" t="s">
        <v>73</v>
      </c>
      <c r="R42" s="2" t="str">
        <f>IFERROR(TEXT('RAW DATA'!B42,"MMMM"),"UKNNOWN")</f>
        <v>October</v>
      </c>
      <c r="S42" s="5">
        <f>IFERROR(MONTH('RAW DATA'!B42),0)</f>
        <v>10</v>
      </c>
      <c r="T42" s="2" t="str">
        <f t="shared" si="0"/>
        <v>Q4</v>
      </c>
      <c r="U42" s="2" t="str">
        <f>IF('RAW DATA'!I42&gt;20,"High",IF('RAW DATA'!I42&gt;10,"Medium","Low"))</f>
        <v>Low</v>
      </c>
      <c r="V42" s="2" t="str">
        <f>IF('RAW DATA'!B42="","Yes","No")</f>
        <v>No</v>
      </c>
      <c r="W42" s="2" t="str">
        <f>IF(COUNTIF(A$2:A341,A42)&gt;1,"Duplicate","OK")</f>
        <v>OK</v>
      </c>
      <c r="X42">
        <f t="shared" si="1"/>
        <v>3</v>
      </c>
    </row>
    <row r="43" spans="1:24" x14ac:dyDescent="0.25">
      <c r="A43" s="3" t="s">
        <v>154</v>
      </c>
      <c r="B43" s="2" t="str">
        <f>IFERROR(IF('RAW DATA'!B43="","Missing",TEXT('RAW DATA'!B43,"YYYY-MM-DAY")),"INVALID DATE")</f>
        <v>2024-10-7A24</v>
      </c>
      <c r="C43" s="3" t="s">
        <v>105</v>
      </c>
      <c r="D43" s="2" t="str">
        <f>PROPER('RAW DATA'!D43)</f>
        <v>Alice Uwimana</v>
      </c>
      <c r="E43" s="3" t="s">
        <v>20</v>
      </c>
      <c r="F43" s="3" t="s">
        <v>21</v>
      </c>
      <c r="G43" s="3" t="s">
        <v>22</v>
      </c>
      <c r="H43" s="3" t="s">
        <v>95</v>
      </c>
      <c r="I43" s="5">
        <f>IFERROR(IF('RAW DATA'!I43="",AVERAGE('RAW DATA'!I$2:I$301),'RAW DATA'!I43),0)</f>
        <v>7.3</v>
      </c>
      <c r="J43" s="3">
        <v>5.3</v>
      </c>
      <c r="K43" s="3" t="s">
        <v>24</v>
      </c>
      <c r="L43" s="2">
        <f>IFERROR(IF('RAW DATA'!L43="",3,'RAW DATA'!L43),3)</f>
        <v>5</v>
      </c>
      <c r="M43" s="3" t="s">
        <v>81</v>
      </c>
      <c r="N43" s="3" t="s">
        <v>26</v>
      </c>
      <c r="O43" s="3">
        <v>1</v>
      </c>
      <c r="P43" s="3" t="s">
        <v>52</v>
      </c>
      <c r="Q43" s="10" t="s">
        <v>107</v>
      </c>
      <c r="R43" s="3" t="str">
        <f>IFERROR(TEXT('RAW DATA'!B43,"MMMM"),"UKNNOWN")</f>
        <v>October</v>
      </c>
      <c r="S43" s="5">
        <f>IFERROR(MONTH('RAW DATA'!B43),0)</f>
        <v>10</v>
      </c>
      <c r="T43" s="3" t="str">
        <f t="shared" si="0"/>
        <v>Q4</v>
      </c>
      <c r="U43" s="3" t="str">
        <f>IF('RAW DATA'!I43&gt;20,"High",IF('RAW DATA'!I43&gt;10,"Medium","Low"))</f>
        <v>Low</v>
      </c>
      <c r="V43" s="3" t="str">
        <f>IF('RAW DATA'!B43="","Yes","No")</f>
        <v>No</v>
      </c>
      <c r="W43" s="2" t="str">
        <f>IF(COUNTIF(A$2:A342,A43)&gt;1,"Duplicate","OK")</f>
        <v>OK</v>
      </c>
      <c r="X43">
        <f t="shared" si="1"/>
        <v>5</v>
      </c>
    </row>
    <row r="44" spans="1:24" x14ac:dyDescent="0.25">
      <c r="A44" s="2" t="s">
        <v>156</v>
      </c>
      <c r="B44" s="2" t="str">
        <f>IFERROR(IF('RAW DATA'!B44="","Missing",TEXT('RAW DATA'!B44,"YYYY-MM-DAY")),"INVALID DATE")</f>
        <v>2024-09-18A24</v>
      </c>
      <c r="C44" s="2" t="s">
        <v>63</v>
      </c>
      <c r="D44" s="2" t="str">
        <f>PROPER('RAW DATA'!D44)</f>
        <v>Henry Bizimana</v>
      </c>
      <c r="E44" s="2" t="s">
        <v>33</v>
      </c>
      <c r="F44" s="2" t="s">
        <v>34</v>
      </c>
      <c r="G44" s="2" t="s">
        <v>41</v>
      </c>
      <c r="H44" s="2" t="s">
        <v>80</v>
      </c>
      <c r="I44" s="5">
        <f>IFERROR(IF('RAW DATA'!I44="",AVERAGE('RAW DATA'!I$2:I$301),'RAW DATA'!I44),0)</f>
        <v>10.1</v>
      </c>
      <c r="J44" s="2">
        <v>0</v>
      </c>
      <c r="K44" s="2" t="s">
        <v>24</v>
      </c>
      <c r="L44" s="2">
        <f>IFERROR(IF('RAW DATA'!L44="",3,'RAW DATA'!L44),3)</f>
        <v>5</v>
      </c>
      <c r="M44" s="2" t="s">
        <v>25</v>
      </c>
      <c r="N44" s="2" t="s">
        <v>26</v>
      </c>
      <c r="O44" s="2">
        <v>0</v>
      </c>
      <c r="P44" s="2" t="s">
        <v>66</v>
      </c>
      <c r="Q44" s="9" t="s">
        <v>67</v>
      </c>
      <c r="R44" s="2" t="str">
        <f>IFERROR(TEXT('RAW DATA'!B44,"MMMM"),"UKNNOWN")</f>
        <v>September</v>
      </c>
      <c r="S44" s="5">
        <f>IFERROR(MONTH('RAW DATA'!B44),0)</f>
        <v>9</v>
      </c>
      <c r="T44" s="2" t="str">
        <f t="shared" si="0"/>
        <v>Q3</v>
      </c>
      <c r="U44" s="2" t="str">
        <f>IF('RAW DATA'!I44&gt;20,"High",IF('RAW DATA'!I44&gt;10,"Medium","Low"))</f>
        <v>Medium</v>
      </c>
      <c r="V44" s="2" t="str">
        <f>IF('RAW DATA'!B44="","Yes","No")</f>
        <v>No</v>
      </c>
      <c r="W44" s="2" t="str">
        <f>IF(COUNTIF(A$2:A343,A44)&gt;1,"Duplicate","OK")</f>
        <v>OK</v>
      </c>
      <c r="X44">
        <f t="shared" si="1"/>
        <v>5</v>
      </c>
    </row>
    <row r="45" spans="1:24" x14ac:dyDescent="0.25">
      <c r="A45" s="3" t="s">
        <v>157</v>
      </c>
      <c r="B45" s="2" t="str">
        <f>IFERROR(IF('RAW DATA'!B45="","Missing",TEXT('RAW DATA'!B45,"YYYY-MM-DAY")),"INVALID DATE")</f>
        <v>2024-04-30A24</v>
      </c>
      <c r="C45" s="3" t="s">
        <v>78</v>
      </c>
      <c r="D45" s="2" t="str">
        <f>PROPER('RAW DATA'!D45)</f>
        <v>Eve Ingabire</v>
      </c>
      <c r="E45" s="3" t="s">
        <v>20</v>
      </c>
      <c r="F45" s="3" t="s">
        <v>21</v>
      </c>
      <c r="G45" s="3" t="s">
        <v>43</v>
      </c>
      <c r="H45" s="3" t="s">
        <v>95</v>
      </c>
      <c r="I45" s="5">
        <f>IFERROR(IF('RAW DATA'!I45="",AVERAGE('RAW DATA'!I$2:I$301),'RAW DATA'!I45),0)</f>
        <v>8.3000000000000007</v>
      </c>
      <c r="J45" s="3">
        <v>5.3</v>
      </c>
      <c r="K45" s="3" t="s">
        <v>26</v>
      </c>
      <c r="L45" s="2">
        <f>IFERROR(IF('RAW DATA'!L45="",3,'RAW DATA'!L45),3)</f>
        <v>1</v>
      </c>
      <c r="M45" s="3" t="s">
        <v>59</v>
      </c>
      <c r="N45" s="3" t="s">
        <v>24</v>
      </c>
      <c r="O45" s="3">
        <v>3</v>
      </c>
      <c r="P45" s="3" t="s">
        <v>27</v>
      </c>
      <c r="Q45" s="10" t="s">
        <v>82</v>
      </c>
      <c r="R45" s="3" t="str">
        <f>IFERROR(TEXT('RAW DATA'!B45,"MMMM"),"UKNNOWN")</f>
        <v>April</v>
      </c>
      <c r="S45" s="5">
        <f>IFERROR(MONTH('RAW DATA'!B45),0)</f>
        <v>4</v>
      </c>
      <c r="T45" s="3" t="str">
        <f t="shared" si="0"/>
        <v>Q2</v>
      </c>
      <c r="U45" s="3" t="str">
        <f>IF('RAW DATA'!I45&gt;20,"High",IF('RAW DATA'!I45&gt;10,"Medium","Low"))</f>
        <v>Low</v>
      </c>
      <c r="V45" s="3" t="str">
        <f>IF('RAW DATA'!B45="","Yes","No")</f>
        <v>No</v>
      </c>
      <c r="W45" s="2" t="str">
        <f>IF(COUNTIF(A$2:A344,A45)&gt;1,"Duplicate","OK")</f>
        <v>OK</v>
      </c>
      <c r="X45">
        <f t="shared" si="1"/>
        <v>1</v>
      </c>
    </row>
    <row r="46" spans="1:24" x14ac:dyDescent="0.25">
      <c r="A46" s="2" t="s">
        <v>159</v>
      </c>
      <c r="B46" s="2" t="str">
        <f>IFERROR(IF('RAW DATA'!B46="","Missing",TEXT('RAW DATA'!B46,"YYYY-MM-DAY")),"INVALID DATE")</f>
        <v>2024-11-18A24</v>
      </c>
      <c r="C46" s="2" t="s">
        <v>56</v>
      </c>
      <c r="D46" s="2" t="str">
        <f>PROPER('RAW DATA'!D46)</f>
        <v>John Gasana</v>
      </c>
      <c r="E46" s="2" t="s">
        <v>41</v>
      </c>
      <c r="F46" s="2" t="s">
        <v>42</v>
      </c>
      <c r="G46" s="2" t="s">
        <v>43</v>
      </c>
      <c r="H46" s="2" t="s">
        <v>58</v>
      </c>
      <c r="I46" s="5">
        <f>IFERROR(IF('RAW DATA'!I46="",AVERAGE('RAW DATA'!I$2:I$301),'RAW DATA'!I46),0)</f>
        <v>9.6</v>
      </c>
      <c r="J46" s="2">
        <v>6.9</v>
      </c>
      <c r="K46" s="2" t="s">
        <v>24</v>
      </c>
      <c r="L46" s="2">
        <f>IFERROR(IF('RAW DATA'!L46="",3,'RAW DATA'!L46),3)</f>
        <v>4</v>
      </c>
      <c r="M46" s="2" t="s">
        <v>59</v>
      </c>
      <c r="N46" s="2" t="s">
        <v>26</v>
      </c>
      <c r="O46" s="2">
        <v>0</v>
      </c>
      <c r="P46" s="2" t="s">
        <v>13</v>
      </c>
      <c r="Q46" s="9" t="s">
        <v>60</v>
      </c>
      <c r="R46" s="2" t="str">
        <f>IFERROR(TEXT('RAW DATA'!B46,"MMMM"),"UKNNOWN")</f>
        <v>November</v>
      </c>
      <c r="S46" s="5">
        <f>IFERROR(MONTH('RAW DATA'!B46),0)</f>
        <v>11</v>
      </c>
      <c r="T46" s="2" t="str">
        <f t="shared" si="0"/>
        <v>Q4</v>
      </c>
      <c r="U46" s="2" t="str">
        <f>IF('RAW DATA'!I46&gt;20,"High",IF('RAW DATA'!I46&gt;10,"Medium","Low"))</f>
        <v>Low</v>
      </c>
      <c r="V46" s="2" t="str">
        <f>IF('RAW DATA'!B46="","Yes","No")</f>
        <v>No</v>
      </c>
      <c r="W46" s="2" t="str">
        <f>IF(COUNTIF(A$2:A345,A46)&gt;1,"Duplicate","OK")</f>
        <v>OK</v>
      </c>
      <c r="X46">
        <f t="shared" si="1"/>
        <v>4</v>
      </c>
    </row>
    <row r="47" spans="1:24" x14ac:dyDescent="0.25">
      <c r="A47" s="3" t="s">
        <v>161</v>
      </c>
      <c r="B47" s="2" t="str">
        <f>IFERROR(IF('RAW DATA'!B47="","Missing",TEXT('RAW DATA'!B47,"YYYY-MM-DAY")),"INVALID DATE")</f>
        <v>2024-04-22A24</v>
      </c>
      <c r="C47" s="3" t="s">
        <v>70</v>
      </c>
      <c r="D47" s="2" t="str">
        <f>PROPER('RAW DATA'!D47)</f>
        <v>Claire Mukamana</v>
      </c>
      <c r="E47" s="3" t="s">
        <v>33</v>
      </c>
      <c r="F47" s="3" t="s">
        <v>34</v>
      </c>
      <c r="G47" s="3" t="s">
        <v>22</v>
      </c>
      <c r="H47" s="3" t="s">
        <v>65</v>
      </c>
      <c r="I47" s="5">
        <f>IFERROR(IF('RAW DATA'!I47="",AVERAGE('RAW DATA'!I$2:I$301),'RAW DATA'!I47),0)</f>
        <v>9.5</v>
      </c>
      <c r="J47" s="3">
        <v>1.1000000000000001</v>
      </c>
      <c r="K47" s="3" t="s">
        <v>24</v>
      </c>
      <c r="L47" s="2">
        <f>IFERROR(IF('RAW DATA'!L47="",3,'RAW DATA'!L47),3)</f>
        <v>4</v>
      </c>
      <c r="M47" s="3" t="s">
        <v>59</v>
      </c>
      <c r="N47" s="3" t="s">
        <v>26</v>
      </c>
      <c r="O47" s="3">
        <v>0</v>
      </c>
      <c r="P47" s="3" t="s">
        <v>45</v>
      </c>
      <c r="Q47" s="10" t="s">
        <v>73</v>
      </c>
      <c r="R47" s="3" t="str">
        <f>IFERROR(TEXT('RAW DATA'!B47,"MMMM"),"UKNNOWN")</f>
        <v>April</v>
      </c>
      <c r="S47" s="5">
        <f>IFERROR(MONTH('RAW DATA'!B47),0)</f>
        <v>4</v>
      </c>
      <c r="T47" s="3" t="str">
        <f t="shared" si="0"/>
        <v>Q2</v>
      </c>
      <c r="U47" s="3" t="str">
        <f>IF('RAW DATA'!I47&gt;20,"High",IF('RAW DATA'!I47&gt;10,"Medium","Low"))</f>
        <v>Low</v>
      </c>
      <c r="V47" s="3" t="str">
        <f>IF('RAW DATA'!B47="","Yes","No")</f>
        <v>No</v>
      </c>
      <c r="W47" s="2" t="str">
        <f>IF(COUNTIF(A$2:A346,A47)&gt;1,"Duplicate","OK")</f>
        <v>OK</v>
      </c>
      <c r="X47">
        <f t="shared" si="1"/>
        <v>4</v>
      </c>
    </row>
    <row r="48" spans="1:24" x14ac:dyDescent="0.25">
      <c r="A48" s="2" t="s">
        <v>163</v>
      </c>
      <c r="B48" s="2" t="str">
        <f>IFERROR(IF('RAW DATA'!B48="","Missing",TEXT('RAW DATA'!B48,"YYYY-MM-DAY")),"INVALID DATE")</f>
        <v>2024-12-7A24</v>
      </c>
      <c r="C48" s="2" t="s">
        <v>85</v>
      </c>
      <c r="D48" s="2" t="str">
        <f>PROPER('RAW DATA'!D48)</f>
        <v>Irene Mutesi</v>
      </c>
      <c r="E48" s="2" t="s">
        <v>20</v>
      </c>
      <c r="F48" s="2" t="s">
        <v>21</v>
      </c>
      <c r="G48" s="2" t="s">
        <v>22</v>
      </c>
      <c r="H48" s="2" t="s">
        <v>65</v>
      </c>
      <c r="I48" s="5">
        <f>IFERROR(IF('RAW DATA'!I48="",AVERAGE('RAW DATA'!I$2:I$301),'RAW DATA'!I48),0)</f>
        <v>12</v>
      </c>
      <c r="J48" s="2">
        <v>3.8</v>
      </c>
      <c r="K48" s="2" t="s">
        <v>26</v>
      </c>
      <c r="L48" s="2">
        <f>IFERROR(IF('RAW DATA'!L48="",3,'RAW DATA'!L48),3)</f>
        <v>5</v>
      </c>
      <c r="M48" s="2" t="s">
        <v>59</v>
      </c>
      <c r="N48" s="2" t="s">
        <v>26</v>
      </c>
      <c r="O48" s="2">
        <v>1</v>
      </c>
      <c r="P48" s="2" t="s">
        <v>27</v>
      </c>
      <c r="Q48" s="9" t="s">
        <v>87</v>
      </c>
      <c r="R48" s="2" t="str">
        <f>IFERROR(TEXT('RAW DATA'!B48,"MMMM"),"UKNNOWN")</f>
        <v>December</v>
      </c>
      <c r="S48" s="5">
        <f>IFERROR(MONTH('RAW DATA'!B48),0)</f>
        <v>12</v>
      </c>
      <c r="T48" s="2" t="str">
        <f t="shared" si="0"/>
        <v>Q4</v>
      </c>
      <c r="U48" s="2" t="str">
        <f>IF('RAW DATA'!I48&gt;20,"High",IF('RAW DATA'!I48&gt;10,"Medium","Low"))</f>
        <v>Medium</v>
      </c>
      <c r="V48" s="2" t="str">
        <f>IF('RAW DATA'!B48="","Yes","No")</f>
        <v>No</v>
      </c>
      <c r="W48" s="2" t="str">
        <f>IF(COUNTIF(A$2:A347,A48)&gt;1,"Duplicate","OK")</f>
        <v>OK</v>
      </c>
      <c r="X48">
        <f t="shared" si="1"/>
        <v>5</v>
      </c>
    </row>
    <row r="49" spans="1:24" x14ac:dyDescent="0.25">
      <c r="A49" s="3" t="s">
        <v>165</v>
      </c>
      <c r="B49" s="2" t="str">
        <f>IFERROR(IF('RAW DATA'!B49="","Missing",TEXT('RAW DATA'!B49,"YYYY-MM-DAY")),"INVALID DATE")</f>
        <v>2024-08-18A24</v>
      </c>
      <c r="C49" s="3" t="s">
        <v>78</v>
      </c>
      <c r="D49" s="2" t="str">
        <f>PROPER('RAW DATA'!D49)</f>
        <v>Eve Ingabire</v>
      </c>
      <c r="E49" s="3" t="s">
        <v>20</v>
      </c>
      <c r="F49" s="3" t="s">
        <v>21</v>
      </c>
      <c r="G49" s="3" t="s">
        <v>43</v>
      </c>
      <c r="H49" s="3" t="s">
        <v>35</v>
      </c>
      <c r="I49" s="5">
        <f>IFERROR(IF('RAW DATA'!I49="",AVERAGE('RAW DATA'!I$2:I$301),'RAW DATA'!I49),0)</f>
        <v>8.1</v>
      </c>
      <c r="J49" s="3">
        <v>0.2</v>
      </c>
      <c r="K49" s="3" t="s">
        <v>26</v>
      </c>
      <c r="L49" s="2">
        <f>IFERROR(IF('RAW DATA'!L49="",3,'RAW DATA'!L49),3)</f>
        <v>3</v>
      </c>
      <c r="M49" s="3" t="s">
        <v>81</v>
      </c>
      <c r="N49" s="3" t="s">
        <v>26</v>
      </c>
      <c r="O49" s="3">
        <v>1</v>
      </c>
      <c r="P49" s="3" t="s">
        <v>52</v>
      </c>
      <c r="Q49" s="10" t="s">
        <v>82</v>
      </c>
      <c r="R49" s="3" t="str">
        <f>IFERROR(TEXT('RAW DATA'!B49,"MMMM"),"UKNNOWN")</f>
        <v>August</v>
      </c>
      <c r="S49" s="5">
        <f>IFERROR(MONTH('RAW DATA'!B49),0)</f>
        <v>8</v>
      </c>
      <c r="T49" s="3" t="str">
        <f t="shared" si="0"/>
        <v>Q3</v>
      </c>
      <c r="U49" s="3" t="str">
        <f>IF('RAW DATA'!I49&gt;20,"High",IF('RAW DATA'!I49&gt;10,"Medium","Low"))</f>
        <v>Low</v>
      </c>
      <c r="V49" s="3" t="str">
        <f>IF('RAW DATA'!B49="","Yes","No")</f>
        <v>No</v>
      </c>
      <c r="W49" s="2" t="str">
        <f>IF(COUNTIF(A$2:A348,A49)&gt;1,"Duplicate","OK")</f>
        <v>OK</v>
      </c>
      <c r="X49">
        <f t="shared" si="1"/>
        <v>3</v>
      </c>
    </row>
    <row r="50" spans="1:24" x14ac:dyDescent="0.25">
      <c r="A50" s="2" t="s">
        <v>167</v>
      </c>
      <c r="B50" s="2" t="str">
        <f>IFERROR(IF('RAW DATA'!B50="","Missing",TEXT('RAW DATA'!B50,"YYYY-MM-DAY")),"INVALID DATE")</f>
        <v>2024-05-19A24</v>
      </c>
      <c r="C50" s="2" t="s">
        <v>49</v>
      </c>
      <c r="D50" s="2" t="str">
        <f>PROPER('RAW DATA'!D50)</f>
        <v>Frank Nzeyimana</v>
      </c>
      <c r="E50" s="2" t="s">
        <v>41</v>
      </c>
      <c r="F50" s="2" t="s">
        <v>42</v>
      </c>
      <c r="G50" s="2" t="s">
        <v>43</v>
      </c>
      <c r="H50" s="2" t="s">
        <v>58</v>
      </c>
      <c r="I50" s="5">
        <f>IFERROR(IF('RAW DATA'!I50="",AVERAGE('RAW DATA'!I$2:I$301),'RAW DATA'!I50),0)</f>
        <v>6.4</v>
      </c>
      <c r="J50" s="2">
        <v>6.3</v>
      </c>
      <c r="K50" s="2" t="s">
        <v>24</v>
      </c>
      <c r="L50" s="2">
        <f>IFERROR(IF('RAW DATA'!L50="",3,'RAW DATA'!L50),3)</f>
        <v>3</v>
      </c>
      <c r="M50" s="2" t="s">
        <v>59</v>
      </c>
      <c r="N50" s="2" t="s">
        <v>26</v>
      </c>
      <c r="O50" s="2">
        <v>1</v>
      </c>
      <c r="P50" s="2" t="s">
        <v>13</v>
      </c>
      <c r="Q50" s="9" t="s">
        <v>53</v>
      </c>
      <c r="R50" s="2" t="str">
        <f>IFERROR(TEXT('RAW DATA'!B50,"MMMM"),"UKNNOWN")</f>
        <v>May</v>
      </c>
      <c r="S50" s="5">
        <f>IFERROR(MONTH('RAW DATA'!B50),0)</f>
        <v>5</v>
      </c>
      <c r="T50" s="2" t="str">
        <f t="shared" si="0"/>
        <v>Q2</v>
      </c>
      <c r="U50" s="2" t="str">
        <f>IF('RAW DATA'!I50&gt;20,"High",IF('RAW DATA'!I50&gt;10,"Medium","Low"))</f>
        <v>Low</v>
      </c>
      <c r="V50" s="2" t="str">
        <f>IF('RAW DATA'!B50="","Yes","No")</f>
        <v>No</v>
      </c>
      <c r="W50" s="2" t="str">
        <f>IF(COUNTIF(A$2:A349,A50)&gt;1,"Duplicate","OK")</f>
        <v>OK</v>
      </c>
      <c r="X50">
        <f t="shared" si="1"/>
        <v>3</v>
      </c>
    </row>
    <row r="51" spans="1:24" x14ac:dyDescent="0.25">
      <c r="A51" s="3" t="s">
        <v>169</v>
      </c>
      <c r="B51" s="2" t="str">
        <f>IFERROR(IF('RAW DATA'!B51="","Missing",TEXT('RAW DATA'!B51,"YYYY-MM-DAY")),"INVALID DATE")</f>
        <v>2024-07-27A24</v>
      </c>
      <c r="C51" s="3" t="s">
        <v>49</v>
      </c>
      <c r="D51" s="2" t="str">
        <f>PROPER('RAW DATA'!D51)</f>
        <v>Frank Nzeyimana</v>
      </c>
      <c r="E51" s="3" t="s">
        <v>41</v>
      </c>
      <c r="F51" s="3" t="s">
        <v>42</v>
      </c>
      <c r="G51" s="3" t="s">
        <v>22</v>
      </c>
      <c r="H51" s="3" t="s">
        <v>95</v>
      </c>
      <c r="I51" s="5">
        <f>IFERROR(IF('RAW DATA'!I51="",AVERAGE('RAW DATA'!I$2:I$301),'RAW DATA'!I51),0)</f>
        <v>5</v>
      </c>
      <c r="J51" s="3">
        <v>3.5</v>
      </c>
      <c r="K51" s="3" t="s">
        <v>26</v>
      </c>
      <c r="L51" s="2">
        <f>IFERROR(IF('RAW DATA'!L51="",3,'RAW DATA'!L51),3)</f>
        <v>3</v>
      </c>
      <c r="M51" s="3" t="s">
        <v>25</v>
      </c>
      <c r="N51" s="3" t="s">
        <v>24</v>
      </c>
      <c r="O51" s="3">
        <v>0</v>
      </c>
      <c r="P51" s="3" t="s">
        <v>27</v>
      </c>
      <c r="Q51" s="10" t="s">
        <v>53</v>
      </c>
      <c r="R51" s="3" t="str">
        <f>IFERROR(TEXT('RAW DATA'!B51,"MMMM"),"UKNNOWN")</f>
        <v>July</v>
      </c>
      <c r="S51" s="5">
        <f>IFERROR(MONTH('RAW DATA'!B51),0)</f>
        <v>7</v>
      </c>
      <c r="T51" s="3" t="str">
        <f t="shared" si="0"/>
        <v>Q3</v>
      </c>
      <c r="U51" s="3" t="str">
        <f>IF('RAW DATA'!I51&gt;20,"High",IF('RAW DATA'!I51&gt;10,"Medium","Low"))</f>
        <v>Low</v>
      </c>
      <c r="V51" s="3" t="str">
        <f>IF('RAW DATA'!B51="","Yes","No")</f>
        <v>No</v>
      </c>
      <c r="W51" s="2" t="str">
        <f>IF(COUNTIF(A$2:A350,A51)&gt;1,"Duplicate","OK")</f>
        <v>OK</v>
      </c>
      <c r="X51">
        <f t="shared" si="1"/>
        <v>3</v>
      </c>
    </row>
    <row r="52" spans="1:24" x14ac:dyDescent="0.25">
      <c r="A52" s="2" t="s">
        <v>171</v>
      </c>
      <c r="B52" s="2"/>
      <c r="C52" s="2" t="s">
        <v>78</v>
      </c>
      <c r="D52" s="2" t="str">
        <f>PROPER('RAW DATA'!D52)</f>
        <v>Eve Ingabire</v>
      </c>
      <c r="E52" s="2" t="s">
        <v>20</v>
      </c>
      <c r="F52" s="2" t="s">
        <v>21</v>
      </c>
      <c r="G52" s="2" t="s">
        <v>41</v>
      </c>
      <c r="H52" s="2" t="s">
        <v>72</v>
      </c>
      <c r="I52" s="5">
        <f>IFERROR(IF('RAW DATA'!I52="",AVERAGE('RAW DATA'!I$2:I$301),'RAW DATA'!I52),0)</f>
        <v>8.1</v>
      </c>
      <c r="J52" s="2">
        <v>0.1</v>
      </c>
      <c r="K52" s="2" t="s">
        <v>24</v>
      </c>
      <c r="L52" s="2">
        <f>IFERROR(IF('RAW DATA'!L52="",3,'RAW DATA'!L52),3)</f>
        <v>5</v>
      </c>
      <c r="M52" s="2" t="s">
        <v>59</v>
      </c>
      <c r="N52" s="2" t="s">
        <v>26</v>
      </c>
      <c r="O52" s="2">
        <v>1</v>
      </c>
      <c r="P52" s="2" t="s">
        <v>27</v>
      </c>
      <c r="Q52" s="9" t="s">
        <v>82</v>
      </c>
      <c r="R52" s="2" t="str">
        <f>IFERROR(TEXT('RAW DATA'!B52,"MMMM"),"UKNNOWN")</f>
        <v>January</v>
      </c>
      <c r="S52" s="5">
        <f>IFERROR(MONTH('RAW DATA'!B52),0)</f>
        <v>1</v>
      </c>
      <c r="T52" s="2" t="str">
        <f t="shared" si="0"/>
        <v>Q1</v>
      </c>
      <c r="U52" s="2" t="str">
        <f>IF('RAW DATA'!I52&gt;20,"High",IF('RAW DATA'!I52&gt;10,"Medium","Low"))</f>
        <v>Low</v>
      </c>
      <c r="V52" s="2" t="str">
        <f>IF('RAW DATA'!B52="","Yes","No")</f>
        <v>Yes</v>
      </c>
      <c r="W52" s="2" t="str">
        <f>IF(COUNTIF(A$2:A351,A52)&gt;1,"Duplicate","OK")</f>
        <v>OK</v>
      </c>
      <c r="X52">
        <f t="shared" si="1"/>
        <v>5</v>
      </c>
    </row>
    <row r="53" spans="1:24" x14ac:dyDescent="0.25">
      <c r="A53" s="3" t="s">
        <v>173</v>
      </c>
      <c r="B53" s="3" t="s">
        <v>162</v>
      </c>
      <c r="C53" s="3" t="s">
        <v>78</v>
      </c>
      <c r="D53" s="2" t="str">
        <f>PROPER('RAW DATA'!D53)</f>
        <v>Eve Ingabire</v>
      </c>
      <c r="E53" s="3" t="s">
        <v>20</v>
      </c>
      <c r="F53" s="3" t="s">
        <v>21</v>
      </c>
      <c r="G53" s="3" t="s">
        <v>22</v>
      </c>
      <c r="H53" s="3" t="s">
        <v>65</v>
      </c>
      <c r="I53" s="5">
        <f>IFERROR(IF('RAW DATA'!I53="",AVERAGE('RAW DATA'!I$2:I$301),'RAW DATA'!I53),0)</f>
        <v>7.3</v>
      </c>
      <c r="J53" s="3">
        <v>4.2</v>
      </c>
      <c r="K53" s="3" t="s">
        <v>24</v>
      </c>
      <c r="L53" s="2">
        <f>IFERROR(IF('RAW DATA'!L53="",3,'RAW DATA'!L53),3)</f>
        <v>4</v>
      </c>
      <c r="M53" s="3" t="s">
        <v>51</v>
      </c>
      <c r="N53" s="3" t="s">
        <v>26</v>
      </c>
      <c r="O53" s="3">
        <v>1</v>
      </c>
      <c r="P53" s="3" t="s">
        <v>13</v>
      </c>
      <c r="Q53" s="10" t="s">
        <v>82</v>
      </c>
      <c r="R53" s="3" t="str">
        <f>IFERROR(TEXT('RAW DATA'!B53,"MMMM"),"UKNNOWN")</f>
        <v>April</v>
      </c>
      <c r="S53" s="5">
        <f>IFERROR(MONTH('RAW DATA'!B53),0)</f>
        <v>4</v>
      </c>
      <c r="T53" s="3" t="str">
        <f t="shared" si="0"/>
        <v>Q2</v>
      </c>
      <c r="U53" s="3" t="str">
        <f>IF('RAW DATA'!I53&gt;20,"High",IF('RAW DATA'!I53&gt;10,"Medium","Low"))</f>
        <v>Low</v>
      </c>
      <c r="V53" s="3" t="str">
        <f>IF('RAW DATA'!B53="","Yes","No")</f>
        <v>No</v>
      </c>
      <c r="W53" s="2" t="str">
        <f>IF(COUNTIF(A$2:A352,A53)&gt;1,"Duplicate","OK")</f>
        <v>OK</v>
      </c>
      <c r="X53">
        <f t="shared" si="1"/>
        <v>4</v>
      </c>
    </row>
    <row r="54" spans="1:24" x14ac:dyDescent="0.25">
      <c r="A54" s="2" t="s">
        <v>174</v>
      </c>
      <c r="B54" s="2" t="s">
        <v>175</v>
      </c>
      <c r="C54" s="2" t="s">
        <v>105</v>
      </c>
      <c r="D54" s="2" t="str">
        <f>PROPER('RAW DATA'!D54)</f>
        <v>Alice Uwimana</v>
      </c>
      <c r="E54" s="2" t="s">
        <v>20</v>
      </c>
      <c r="F54" s="2" t="s">
        <v>21</v>
      </c>
      <c r="G54" s="2" t="s">
        <v>43</v>
      </c>
      <c r="H54" s="2" t="s">
        <v>95</v>
      </c>
      <c r="I54" s="5">
        <f>IFERROR(IF('RAW DATA'!I54="",AVERAGE('RAW DATA'!I$2:I$301),'RAW DATA'!I54),0)</f>
        <v>11.3</v>
      </c>
      <c r="J54" s="2">
        <v>2.5</v>
      </c>
      <c r="K54" s="2" t="s">
        <v>24</v>
      </c>
      <c r="L54" s="2">
        <f>IFERROR(IF('RAW DATA'!L54="",3,'RAW DATA'!L54),3)</f>
        <v>5</v>
      </c>
      <c r="M54" s="2" t="s">
        <v>81</v>
      </c>
      <c r="N54" s="2" t="s">
        <v>26</v>
      </c>
      <c r="O54" s="2">
        <v>0</v>
      </c>
      <c r="P54" s="2" t="s">
        <v>52</v>
      </c>
      <c r="Q54" s="9" t="s">
        <v>107</v>
      </c>
      <c r="R54" s="2" t="str">
        <f>IFERROR(TEXT('RAW DATA'!B54,"MMMM"),"UKNNOWN")</f>
        <v>September</v>
      </c>
      <c r="S54" s="5">
        <f>IFERROR(MONTH('RAW DATA'!B54),0)</f>
        <v>9</v>
      </c>
      <c r="T54" s="2" t="str">
        <f t="shared" si="0"/>
        <v>Q3</v>
      </c>
      <c r="U54" s="2" t="str">
        <f>IF('RAW DATA'!I54&gt;20,"High",IF('RAW DATA'!I54&gt;10,"Medium","Low"))</f>
        <v>Medium</v>
      </c>
      <c r="V54" s="2" t="str">
        <f>IF('RAW DATA'!B54="","Yes","No")</f>
        <v>No</v>
      </c>
      <c r="W54" s="2" t="str">
        <f>IF(COUNTIF(A$2:A353,A54)&gt;1,"Duplicate","OK")</f>
        <v>OK</v>
      </c>
      <c r="X54">
        <f t="shared" si="1"/>
        <v>5</v>
      </c>
    </row>
    <row r="55" spans="1:24" x14ac:dyDescent="0.25">
      <c r="A55" s="3" t="s">
        <v>176</v>
      </c>
      <c r="B55" s="3" t="s">
        <v>177</v>
      </c>
      <c r="C55" s="3" t="s">
        <v>78</v>
      </c>
      <c r="D55" s="2" t="str">
        <f>PROPER('RAW DATA'!D55)</f>
        <v>Eve Ingabire</v>
      </c>
      <c r="E55" s="3" t="s">
        <v>20</v>
      </c>
      <c r="F55" s="3" t="s">
        <v>21</v>
      </c>
      <c r="G55" s="3" t="s">
        <v>22</v>
      </c>
      <c r="H55" s="3" t="s">
        <v>35</v>
      </c>
      <c r="I55" s="5">
        <f>IFERROR(IF('RAW DATA'!I55="",AVERAGE('RAW DATA'!I$2:I$301),'RAW DATA'!I55),0)</f>
        <v>6.5</v>
      </c>
      <c r="J55" s="3">
        <v>4.9000000000000004</v>
      </c>
      <c r="K55" s="3" t="s">
        <v>24</v>
      </c>
      <c r="L55" s="2">
        <f>IFERROR(IF('RAW DATA'!L55="",3,'RAW DATA'!L55),3)</f>
        <v>4</v>
      </c>
      <c r="M55" s="3" t="s">
        <v>25</v>
      </c>
      <c r="N55" s="3" t="s">
        <v>26</v>
      </c>
      <c r="O55" s="3">
        <v>1</v>
      </c>
      <c r="P55" s="3" t="s">
        <v>66</v>
      </c>
      <c r="Q55" s="10" t="s">
        <v>82</v>
      </c>
      <c r="R55" s="3" t="str">
        <f>IFERROR(TEXT('RAW DATA'!B55,"MMMM"),"UKNNOWN")</f>
        <v>January</v>
      </c>
      <c r="S55" s="5">
        <f>IFERROR(MONTH('RAW DATA'!B55),0)</f>
        <v>1</v>
      </c>
      <c r="T55" s="3" t="str">
        <f t="shared" si="0"/>
        <v>Q1</v>
      </c>
      <c r="U55" s="3" t="str">
        <f>IF('RAW DATA'!I55&gt;20,"High",IF('RAW DATA'!I55&gt;10,"Medium","Low"))</f>
        <v>Low</v>
      </c>
      <c r="V55" s="3" t="str">
        <f>IF('RAW DATA'!B55="","Yes","No")</f>
        <v>No</v>
      </c>
      <c r="W55" s="2" t="str">
        <f>IF(COUNTIF(A$2:A354,A55)&gt;1,"Duplicate","OK")</f>
        <v>OK</v>
      </c>
      <c r="X55">
        <f t="shared" si="1"/>
        <v>4</v>
      </c>
    </row>
    <row r="56" spans="1:24" x14ac:dyDescent="0.25">
      <c r="A56" s="2" t="s">
        <v>178</v>
      </c>
      <c r="B56" s="2" t="s">
        <v>179</v>
      </c>
      <c r="C56" s="2" t="s">
        <v>105</v>
      </c>
      <c r="D56" s="2" t="str">
        <f>PROPER('RAW DATA'!D56)</f>
        <v>Alice Uwimana</v>
      </c>
      <c r="E56" s="2" t="s">
        <v>20</v>
      </c>
      <c r="F56" s="2" t="s">
        <v>21</v>
      </c>
      <c r="G56" s="2" t="s">
        <v>43</v>
      </c>
      <c r="H56" s="2" t="s">
        <v>23</v>
      </c>
      <c r="I56" s="5">
        <f>IFERROR(IF('RAW DATA'!I56="",AVERAGE('RAW DATA'!I$2:I$301),'RAW DATA'!I56),0)</f>
        <v>8</v>
      </c>
      <c r="J56" s="2">
        <v>3.3</v>
      </c>
      <c r="K56" s="2" t="s">
        <v>24</v>
      </c>
      <c r="L56" s="2">
        <f>IFERROR(IF('RAW DATA'!L56="",3,'RAW DATA'!L56),3)</f>
        <v>5</v>
      </c>
      <c r="M56" s="2" t="s">
        <v>81</v>
      </c>
      <c r="N56" s="2" t="s">
        <v>26</v>
      </c>
      <c r="O56" s="2">
        <v>0</v>
      </c>
      <c r="P56" s="2" t="s">
        <v>45</v>
      </c>
      <c r="Q56" s="9" t="s">
        <v>107</v>
      </c>
      <c r="R56" s="2" t="str">
        <f>IFERROR(TEXT('RAW DATA'!B56,"MMMM"),"UKNNOWN")</f>
        <v>August</v>
      </c>
      <c r="S56" s="5">
        <f>IFERROR(MONTH('RAW DATA'!B56),0)</f>
        <v>8</v>
      </c>
      <c r="T56" s="2" t="str">
        <f t="shared" si="0"/>
        <v>Q3</v>
      </c>
      <c r="U56" s="2" t="str">
        <f>IF('RAW DATA'!I56&gt;20,"High",IF('RAW DATA'!I56&gt;10,"Medium","Low"))</f>
        <v>Low</v>
      </c>
      <c r="V56" s="2" t="str">
        <f>IF('RAW DATA'!B56="","Yes","No")</f>
        <v>No</v>
      </c>
      <c r="W56" s="2" t="str">
        <f>IF(COUNTIF(A$2:A355,A56)&gt;1,"Duplicate","OK")</f>
        <v>OK</v>
      </c>
      <c r="X56">
        <f t="shared" si="1"/>
        <v>5</v>
      </c>
    </row>
    <row r="57" spans="1:24" x14ac:dyDescent="0.25">
      <c r="A57" s="3" t="s">
        <v>180</v>
      </c>
      <c r="B57" s="3" t="s">
        <v>181</v>
      </c>
      <c r="C57" s="3" t="s">
        <v>105</v>
      </c>
      <c r="D57" s="2" t="str">
        <f>PROPER('RAW DATA'!D57)</f>
        <v>Alice Uwimana</v>
      </c>
      <c r="E57" s="3" t="s">
        <v>20</v>
      </c>
      <c r="F57" s="3" t="s">
        <v>21</v>
      </c>
      <c r="G57" s="3" t="s">
        <v>43</v>
      </c>
      <c r="H57" s="3" t="s">
        <v>95</v>
      </c>
      <c r="I57" s="5">
        <f>IFERROR(IF('RAW DATA'!I57="",AVERAGE('RAW DATA'!I$2:I$301),'RAW DATA'!I57),0)</f>
        <v>6.4</v>
      </c>
      <c r="J57" s="3">
        <v>3</v>
      </c>
      <c r="K57" s="3" t="s">
        <v>24</v>
      </c>
      <c r="L57" s="2">
        <f>IFERROR(IF('RAW DATA'!L57="",3,'RAW DATA'!L57),3)</f>
        <v>4</v>
      </c>
      <c r="M57" s="3" t="s">
        <v>90</v>
      </c>
      <c r="N57" s="3" t="s">
        <v>26</v>
      </c>
      <c r="O57" s="3">
        <v>0</v>
      </c>
      <c r="P57" s="3" t="s">
        <v>27</v>
      </c>
      <c r="Q57" s="10" t="s">
        <v>107</v>
      </c>
      <c r="R57" s="3" t="str">
        <f>IFERROR(TEXT('RAW DATA'!B57,"MMMM"),"UKNNOWN")</f>
        <v>April</v>
      </c>
      <c r="S57" s="5">
        <f>IFERROR(MONTH('RAW DATA'!B57),0)</f>
        <v>4</v>
      </c>
      <c r="T57" s="3" t="str">
        <f t="shared" si="0"/>
        <v>Q2</v>
      </c>
      <c r="U57" s="3" t="str">
        <f>IF('RAW DATA'!I57&gt;20,"High",IF('RAW DATA'!I57&gt;10,"Medium","Low"))</f>
        <v>Low</v>
      </c>
      <c r="V57" s="3" t="str">
        <f>IF('RAW DATA'!B57="","Yes","No")</f>
        <v>No</v>
      </c>
      <c r="W57" s="2" t="str">
        <f>IF(COUNTIF(A$2:A356,A57)&gt;1,"Duplicate","OK")</f>
        <v>OK</v>
      </c>
      <c r="X57">
        <f t="shared" si="1"/>
        <v>4</v>
      </c>
    </row>
    <row r="58" spans="1:24" x14ac:dyDescent="0.25">
      <c r="A58" s="2" t="s">
        <v>182</v>
      </c>
      <c r="B58" s="2" t="s">
        <v>183</v>
      </c>
      <c r="C58" s="2" t="s">
        <v>70</v>
      </c>
      <c r="D58" s="2" t="str">
        <f>PROPER('RAW DATA'!D58)</f>
        <v>Claire Mukamana</v>
      </c>
      <c r="E58" s="2" t="s">
        <v>33</v>
      </c>
      <c r="F58" s="2" t="s">
        <v>34</v>
      </c>
      <c r="G58" s="2" t="s">
        <v>43</v>
      </c>
      <c r="H58" s="2" t="s">
        <v>23</v>
      </c>
      <c r="I58" s="5">
        <f>IFERROR(IF('RAW DATA'!I58="",AVERAGE('RAW DATA'!I$2:I$301),'RAW DATA'!I58),0)</f>
        <v>1.9</v>
      </c>
      <c r="J58" s="2">
        <v>0.8</v>
      </c>
      <c r="K58" s="2" t="s">
        <v>24</v>
      </c>
      <c r="L58" s="2">
        <f>IFERROR(IF('RAW DATA'!L58="",3,'RAW DATA'!L58),3)</f>
        <v>5</v>
      </c>
      <c r="M58" s="2" t="s">
        <v>90</v>
      </c>
      <c r="N58" s="2" t="s">
        <v>26</v>
      </c>
      <c r="O58" s="2">
        <v>0</v>
      </c>
      <c r="P58" s="2" t="s">
        <v>66</v>
      </c>
      <c r="Q58" s="9" t="s">
        <v>73</v>
      </c>
      <c r="R58" s="2" t="str">
        <f>IFERROR(TEXT('RAW DATA'!B58,"MMMM"),"UKNNOWN")</f>
        <v>July</v>
      </c>
      <c r="S58" s="5">
        <f>IFERROR(MONTH('RAW DATA'!B58),0)</f>
        <v>7</v>
      </c>
      <c r="T58" s="2" t="str">
        <f t="shared" si="0"/>
        <v>Q3</v>
      </c>
      <c r="U58" s="2" t="str">
        <f>IF('RAW DATA'!I58&gt;20,"High",IF('RAW DATA'!I58&gt;10,"Medium","Low"))</f>
        <v>Low</v>
      </c>
      <c r="V58" s="2" t="str">
        <f>IF('RAW DATA'!B58="","Yes","No")</f>
        <v>No</v>
      </c>
      <c r="W58" s="2" t="str">
        <f>IF(COUNTIF(A$2:A357,A58)&gt;1,"Duplicate","OK")</f>
        <v>OK</v>
      </c>
      <c r="X58">
        <f t="shared" si="1"/>
        <v>5</v>
      </c>
    </row>
    <row r="59" spans="1:24" x14ac:dyDescent="0.25">
      <c r="A59" s="3" t="s">
        <v>184</v>
      </c>
      <c r="B59" s="3" t="s">
        <v>185</v>
      </c>
      <c r="C59" s="3" t="s">
        <v>39</v>
      </c>
      <c r="D59" s="2" t="str">
        <f>PROPER('RAW DATA'!D59)</f>
        <v>Grace Uwase</v>
      </c>
      <c r="E59" s="3" t="s">
        <v>41</v>
      </c>
      <c r="F59" s="3" t="s">
        <v>42</v>
      </c>
      <c r="G59" s="3" t="s">
        <v>43</v>
      </c>
      <c r="H59" s="3" t="s">
        <v>58</v>
      </c>
      <c r="I59" s="5">
        <f>IFERROR(IF('RAW DATA'!I59="",AVERAGE('RAW DATA'!I$2:I$301),'RAW DATA'!I59),0)</f>
        <v>4.2</v>
      </c>
      <c r="J59" s="3">
        <v>5.9</v>
      </c>
      <c r="K59" s="3" t="s">
        <v>26</v>
      </c>
      <c r="L59" s="2">
        <f>IFERROR(IF('RAW DATA'!L59="",3,'RAW DATA'!L59),3)</f>
        <v>2</v>
      </c>
      <c r="M59" s="3" t="s">
        <v>51</v>
      </c>
      <c r="N59" s="3" t="s">
        <v>26</v>
      </c>
      <c r="O59" s="3">
        <v>0</v>
      </c>
      <c r="P59" s="3" t="s">
        <v>45</v>
      </c>
      <c r="Q59" s="10" t="s">
        <v>46</v>
      </c>
      <c r="R59" s="3" t="str">
        <f>IFERROR(TEXT('RAW DATA'!B59,"MMMM"),"UKNNOWN")</f>
        <v>October</v>
      </c>
      <c r="S59" s="5">
        <f>IFERROR(MONTH('RAW DATA'!B59),0)</f>
        <v>10</v>
      </c>
      <c r="T59" s="3" t="str">
        <f t="shared" si="0"/>
        <v>Q4</v>
      </c>
      <c r="U59" s="3" t="str">
        <f>IF('RAW DATA'!I59&gt;20,"High",IF('RAW DATA'!I59&gt;10,"Medium","Low"))</f>
        <v>Low</v>
      </c>
      <c r="V59" s="3" t="str">
        <f>IF('RAW DATA'!B59="","Yes","No")</f>
        <v>No</v>
      </c>
      <c r="W59" s="2" t="str">
        <f>IF(COUNTIF(A$2:A358,A59)&gt;1,"Duplicate","OK")</f>
        <v>OK</v>
      </c>
      <c r="X59">
        <f t="shared" si="1"/>
        <v>2</v>
      </c>
    </row>
    <row r="60" spans="1:24" x14ac:dyDescent="0.25">
      <c r="A60" s="2" t="s">
        <v>186</v>
      </c>
      <c r="B60" s="2" t="s">
        <v>187</v>
      </c>
      <c r="C60" s="2" t="s">
        <v>49</v>
      </c>
      <c r="D60" s="2" t="str">
        <f>PROPER('RAW DATA'!D60)</f>
        <v>Frank Nzeyimana</v>
      </c>
      <c r="E60" s="2" t="s">
        <v>41</v>
      </c>
      <c r="F60" s="2" t="s">
        <v>42</v>
      </c>
      <c r="G60" s="2" t="s">
        <v>22</v>
      </c>
      <c r="H60" s="2" t="s">
        <v>58</v>
      </c>
      <c r="I60" s="5">
        <f>IFERROR(IF('RAW DATA'!I60="",AVERAGE('RAW DATA'!I$2:I$301),'RAW DATA'!I60),0)</f>
        <v>3.7</v>
      </c>
      <c r="J60" s="2">
        <v>3.4</v>
      </c>
      <c r="K60" s="2" t="s">
        <v>26</v>
      </c>
      <c r="L60" s="2">
        <f>IFERROR(IF('RAW DATA'!L60="",3,'RAW DATA'!L60),3)</f>
        <v>2</v>
      </c>
      <c r="M60" s="2" t="s">
        <v>59</v>
      </c>
      <c r="N60" s="2" t="s">
        <v>26</v>
      </c>
      <c r="O60" s="2">
        <v>0</v>
      </c>
      <c r="P60" s="2" t="s">
        <v>52</v>
      </c>
      <c r="Q60" s="9" t="s">
        <v>53</v>
      </c>
      <c r="R60" s="2" t="str">
        <f>IFERROR(TEXT('RAW DATA'!B60,"MMMM"),"UKNNOWN")</f>
        <v>January</v>
      </c>
      <c r="S60" s="5">
        <f>IFERROR(MONTH('RAW DATA'!B60),0)</f>
        <v>1</v>
      </c>
      <c r="T60" s="2" t="str">
        <f t="shared" si="0"/>
        <v>Q1</v>
      </c>
      <c r="U60" s="2" t="str">
        <f>IF('RAW DATA'!I60&gt;20,"High",IF('RAW DATA'!I60&gt;10,"Medium","Low"))</f>
        <v>Low</v>
      </c>
      <c r="V60" s="2" t="str">
        <f>IF('RAW DATA'!B60="","Yes","No")</f>
        <v>No</v>
      </c>
      <c r="W60" s="2" t="str">
        <f>IF(COUNTIF(A$2:A359,A60)&gt;1,"Duplicate","OK")</f>
        <v>OK</v>
      </c>
      <c r="X60">
        <f t="shared" si="1"/>
        <v>2</v>
      </c>
    </row>
    <row r="61" spans="1:24" x14ac:dyDescent="0.25">
      <c r="A61" s="3" t="s">
        <v>188</v>
      </c>
      <c r="B61" s="3" t="s">
        <v>55</v>
      </c>
      <c r="C61" s="3" t="s">
        <v>63</v>
      </c>
      <c r="D61" s="2" t="str">
        <f>PROPER('RAW DATA'!D61)</f>
        <v>Henry Bizimana</v>
      </c>
      <c r="E61" s="3" t="s">
        <v>33</v>
      </c>
      <c r="F61" s="3" t="s">
        <v>34</v>
      </c>
      <c r="G61" s="3" t="s">
        <v>41</v>
      </c>
      <c r="H61" s="3" t="s">
        <v>95</v>
      </c>
      <c r="I61" s="5">
        <f>IFERROR(IF('RAW DATA'!I61="",AVERAGE('RAW DATA'!I$2:I$301),'RAW DATA'!I61),0)</f>
        <v>7.1</v>
      </c>
      <c r="J61" s="3">
        <v>1.9</v>
      </c>
      <c r="K61" s="3" t="s">
        <v>24</v>
      </c>
      <c r="L61" s="2">
        <f>IFERROR(IF('RAW DATA'!L61="",3,'RAW DATA'!L61),3)</f>
        <v>5</v>
      </c>
      <c r="M61" s="3" t="s">
        <v>59</v>
      </c>
      <c r="N61" s="3" t="s">
        <v>26</v>
      </c>
      <c r="O61" s="3">
        <v>1</v>
      </c>
      <c r="P61" s="3" t="s">
        <v>27</v>
      </c>
      <c r="Q61" s="10" t="s">
        <v>67</v>
      </c>
      <c r="R61" s="3" t="str">
        <f>IFERROR(TEXT('RAW DATA'!B61,"MMMM"),"UKNNOWN")</f>
        <v>July</v>
      </c>
      <c r="S61" s="5">
        <f>IFERROR(MONTH('RAW DATA'!B61),0)</f>
        <v>7</v>
      </c>
      <c r="T61" s="3" t="str">
        <f t="shared" si="0"/>
        <v>Q3</v>
      </c>
      <c r="U61" s="3" t="str">
        <f>IF('RAW DATA'!I61&gt;20,"High",IF('RAW DATA'!I61&gt;10,"Medium","Low"))</f>
        <v>Low</v>
      </c>
      <c r="V61" s="3" t="str">
        <f>IF('RAW DATA'!B61="","Yes","No")</f>
        <v>No</v>
      </c>
      <c r="W61" s="2" t="str">
        <f>IF(COUNTIF(A$2:A360,A61)&gt;1,"Duplicate","OK")</f>
        <v>OK</v>
      </c>
      <c r="X61">
        <f t="shared" si="1"/>
        <v>5</v>
      </c>
    </row>
    <row r="62" spans="1:24" x14ac:dyDescent="0.25">
      <c r="A62" s="2" t="s">
        <v>189</v>
      </c>
      <c r="B62" s="2" t="s">
        <v>190</v>
      </c>
      <c r="C62" s="2" t="s">
        <v>56</v>
      </c>
      <c r="D62" s="2" t="str">
        <f>PROPER('RAW DATA'!D62)</f>
        <v>John Gasana</v>
      </c>
      <c r="E62" s="2" t="s">
        <v>41</v>
      </c>
      <c r="F62" s="2" t="s">
        <v>42</v>
      </c>
      <c r="G62" s="2" t="s">
        <v>22</v>
      </c>
      <c r="H62" s="2" t="s">
        <v>72</v>
      </c>
      <c r="I62" s="5">
        <f>IFERROR(IF('RAW DATA'!I62="",AVERAGE('RAW DATA'!I$2:I$301),'RAW DATA'!I62),0)</f>
        <v>7.3</v>
      </c>
      <c r="J62" s="2">
        <v>7.9</v>
      </c>
      <c r="K62" s="2" t="s">
        <v>24</v>
      </c>
      <c r="L62" s="2">
        <f>IFERROR(IF('RAW DATA'!L62="",3,'RAW DATA'!L62),3)</f>
        <v>5</v>
      </c>
      <c r="M62" s="2" t="s">
        <v>59</v>
      </c>
      <c r="N62" s="2" t="s">
        <v>26</v>
      </c>
      <c r="O62" s="2">
        <v>0</v>
      </c>
      <c r="P62" s="2" t="s">
        <v>66</v>
      </c>
      <c r="Q62" s="9" t="s">
        <v>60</v>
      </c>
      <c r="R62" s="2" t="str">
        <f>IFERROR(TEXT('RAW DATA'!B62,"MMMM"),"UKNNOWN")</f>
        <v>August</v>
      </c>
      <c r="S62" s="5">
        <f>IFERROR(MONTH('RAW DATA'!B62),0)</f>
        <v>8</v>
      </c>
      <c r="T62" s="2" t="str">
        <f t="shared" si="0"/>
        <v>Q3</v>
      </c>
      <c r="U62" s="2" t="str">
        <f>IF('RAW DATA'!I62&gt;20,"High",IF('RAW DATA'!I62&gt;10,"Medium","Low"))</f>
        <v>Low</v>
      </c>
      <c r="V62" s="2" t="str">
        <f>IF('RAW DATA'!B62="","Yes","No")</f>
        <v>No</v>
      </c>
      <c r="W62" s="2" t="str">
        <f>IF(COUNTIF(A$2:A361,A62)&gt;1,"Duplicate","OK")</f>
        <v>OK</v>
      </c>
      <c r="X62">
        <f t="shared" si="1"/>
        <v>5</v>
      </c>
    </row>
    <row r="63" spans="1:24" x14ac:dyDescent="0.25">
      <c r="A63" s="3" t="s">
        <v>191</v>
      </c>
      <c r="B63" s="3" t="s">
        <v>192</v>
      </c>
      <c r="C63" s="3" t="s">
        <v>56</v>
      </c>
      <c r="D63" s="2" t="str">
        <f>PROPER('RAW DATA'!D63)</f>
        <v>John Gasana</v>
      </c>
      <c r="E63" s="3" t="s">
        <v>41</v>
      </c>
      <c r="F63" s="3" t="s">
        <v>42</v>
      </c>
      <c r="G63" s="3" t="s">
        <v>22</v>
      </c>
      <c r="H63" s="3" t="s">
        <v>72</v>
      </c>
      <c r="I63" s="5">
        <f>IFERROR(IF('RAW DATA'!I63="",AVERAGE('RAW DATA'!I$2:I$301),'RAW DATA'!I63),0)</f>
        <v>6.7</v>
      </c>
      <c r="J63" s="3">
        <v>2.4</v>
      </c>
      <c r="K63" s="3" t="s">
        <v>24</v>
      </c>
      <c r="L63" s="2">
        <f>IFERROR(IF('RAW DATA'!L63="",3,'RAW DATA'!L63),3)</f>
        <v>4</v>
      </c>
      <c r="M63" s="3" t="s">
        <v>90</v>
      </c>
      <c r="N63" s="3" t="s">
        <v>26</v>
      </c>
      <c r="O63" s="3">
        <v>1</v>
      </c>
      <c r="P63" s="3" t="s">
        <v>13</v>
      </c>
      <c r="Q63" s="10" t="s">
        <v>60</v>
      </c>
      <c r="R63" s="3" t="str">
        <f>IFERROR(TEXT('RAW DATA'!B63,"MMMM"),"UKNNOWN")</f>
        <v>October</v>
      </c>
      <c r="S63" s="5">
        <f>IFERROR(MONTH('RAW DATA'!B63),0)</f>
        <v>10</v>
      </c>
      <c r="T63" s="3" t="str">
        <f t="shared" si="0"/>
        <v>Q4</v>
      </c>
      <c r="U63" s="3" t="str">
        <f>IF('RAW DATA'!I63&gt;20,"High",IF('RAW DATA'!I63&gt;10,"Medium","Low"))</f>
        <v>Low</v>
      </c>
      <c r="V63" s="3" t="str">
        <f>IF('RAW DATA'!B63="","Yes","No")</f>
        <v>No</v>
      </c>
      <c r="W63" s="2" t="str">
        <f>IF(COUNTIF(A$2:A362,A63)&gt;1,"Duplicate","OK")</f>
        <v>OK</v>
      </c>
      <c r="X63">
        <f t="shared" si="1"/>
        <v>4</v>
      </c>
    </row>
    <row r="64" spans="1:24" x14ac:dyDescent="0.25">
      <c r="A64" s="2" t="s">
        <v>193</v>
      </c>
      <c r="B64" s="2" t="s">
        <v>194</v>
      </c>
      <c r="C64" s="2" t="s">
        <v>49</v>
      </c>
      <c r="D64" s="2" t="str">
        <f>PROPER('RAW DATA'!D64)</f>
        <v>Frank Nzeyimana</v>
      </c>
      <c r="E64" s="2" t="s">
        <v>41</v>
      </c>
      <c r="F64" s="2" t="s">
        <v>42</v>
      </c>
      <c r="G64" s="2" t="s">
        <v>43</v>
      </c>
      <c r="H64" s="2" t="s">
        <v>58</v>
      </c>
      <c r="I64" s="5">
        <f>IFERROR(IF('RAW DATA'!I64="",AVERAGE('RAW DATA'!I$2:I$301),'RAW DATA'!I64),0)</f>
        <v>7.3</v>
      </c>
      <c r="J64" s="2">
        <v>6.6</v>
      </c>
      <c r="K64" s="2" t="s">
        <v>24</v>
      </c>
      <c r="L64" s="2">
        <f>IFERROR(IF('RAW DATA'!L64="",3,'RAW DATA'!L64),3)</f>
        <v>5</v>
      </c>
      <c r="M64" s="2" t="s">
        <v>81</v>
      </c>
      <c r="N64" s="2" t="s">
        <v>26</v>
      </c>
      <c r="O64" s="2">
        <v>0</v>
      </c>
      <c r="P64" s="2" t="s">
        <v>27</v>
      </c>
      <c r="Q64" s="9" t="s">
        <v>53</v>
      </c>
      <c r="R64" s="3" t="str">
        <f>IFERROR(TEXT('RAW DATA'!B64,"MMMM"),"UKNNOWN")</f>
        <v>May</v>
      </c>
      <c r="S64" s="5">
        <f>IFERROR(MONTH('RAW DATA'!B64),0)</f>
        <v>5</v>
      </c>
      <c r="T64" s="2" t="str">
        <f t="shared" si="0"/>
        <v>Q2</v>
      </c>
      <c r="U64" s="2" t="str">
        <f>IF('RAW DATA'!I64&gt;20,"High",IF('RAW DATA'!I64&gt;10,"Medium","Low"))</f>
        <v>Low</v>
      </c>
      <c r="V64" s="2" t="str">
        <f>IF('RAW DATA'!B64="","Yes","No")</f>
        <v>No</v>
      </c>
      <c r="W64" s="2" t="str">
        <f>IF(COUNTIF(A$2:A363,A64)&gt;1,"Duplicate","OK")</f>
        <v>OK</v>
      </c>
      <c r="X64">
        <f t="shared" si="1"/>
        <v>5</v>
      </c>
    </row>
    <row r="65" spans="1:24" x14ac:dyDescent="0.25">
      <c r="A65" s="3" t="s">
        <v>195</v>
      </c>
      <c r="B65" s="3" t="s">
        <v>170</v>
      </c>
      <c r="C65" s="3" t="s">
        <v>63</v>
      </c>
      <c r="D65" s="2" t="str">
        <f>PROPER('RAW DATA'!D65)</f>
        <v>Henry Bizimana</v>
      </c>
      <c r="E65" s="3" t="s">
        <v>33</v>
      </c>
      <c r="F65" s="3" t="s">
        <v>34</v>
      </c>
      <c r="G65" s="3" t="s">
        <v>43</v>
      </c>
      <c r="H65" s="3" t="s">
        <v>58</v>
      </c>
      <c r="I65" s="5">
        <f>IFERROR(IF('RAW DATA'!I65="",AVERAGE('RAW DATA'!I$2:I$301),'RAW DATA'!I65),0)</f>
        <v>5.9</v>
      </c>
      <c r="J65" s="3">
        <v>3.5</v>
      </c>
      <c r="K65" s="3" t="s">
        <v>24</v>
      </c>
      <c r="L65" s="2">
        <f>IFERROR(IF('RAW DATA'!L65="",3,'RAW DATA'!L65),3)</f>
        <v>4</v>
      </c>
      <c r="M65" s="3" t="s">
        <v>90</v>
      </c>
      <c r="N65" s="3" t="s">
        <v>26</v>
      </c>
      <c r="O65" s="3">
        <v>1</v>
      </c>
      <c r="P65" s="3" t="s">
        <v>52</v>
      </c>
      <c r="Q65" s="10" t="s">
        <v>67</v>
      </c>
      <c r="R65" s="2" t="str">
        <f>IFERROR(TEXT('RAW DATA'!B65,"MMMM"),"UKNNOWN")</f>
        <v>July</v>
      </c>
      <c r="S65" s="5">
        <f>IFERROR(MONTH('RAW DATA'!B65),0)</f>
        <v>7</v>
      </c>
      <c r="T65" s="3" t="str">
        <f t="shared" si="0"/>
        <v>Q3</v>
      </c>
      <c r="U65" s="3" t="str">
        <f>IF('RAW DATA'!I65&gt;20,"High",IF('RAW DATA'!I65&gt;10,"Medium","Low"))</f>
        <v>Low</v>
      </c>
      <c r="V65" s="3" t="str">
        <f>IF('RAW DATA'!B65="","Yes","No")</f>
        <v>No</v>
      </c>
      <c r="W65" s="2" t="str">
        <f>IF(COUNTIF(A$2:A364,A65)&gt;1,"Duplicate","OK")</f>
        <v>OK</v>
      </c>
      <c r="X65">
        <f t="shared" si="1"/>
        <v>4</v>
      </c>
    </row>
    <row r="66" spans="1:24" x14ac:dyDescent="0.25">
      <c r="A66" s="2" t="s">
        <v>196</v>
      </c>
      <c r="B66" s="2" t="s">
        <v>197</v>
      </c>
      <c r="C66" s="2" t="s">
        <v>39</v>
      </c>
      <c r="D66" s="2" t="str">
        <f>PROPER('RAW DATA'!D66)</f>
        <v>Grace Uwase</v>
      </c>
      <c r="E66" s="2" t="s">
        <v>41</v>
      </c>
      <c r="F66" s="2" t="s">
        <v>42</v>
      </c>
      <c r="G66" s="2" t="s">
        <v>41</v>
      </c>
      <c r="H66" s="2" t="s">
        <v>80</v>
      </c>
      <c r="I66" s="5">
        <f>IFERROR(IF('RAW DATA'!I66="",AVERAGE('RAW DATA'!I$2:I$301),'RAW DATA'!I66),0)</f>
        <v>7.1</v>
      </c>
      <c r="J66" s="2">
        <v>2.4</v>
      </c>
      <c r="K66" s="2" t="s">
        <v>24</v>
      </c>
      <c r="L66" s="2">
        <f>IFERROR(IF('RAW DATA'!L66="",3,'RAW DATA'!L66),3)</f>
        <v>4</v>
      </c>
      <c r="M66" s="2" t="s">
        <v>59</v>
      </c>
      <c r="N66" s="2" t="s">
        <v>26</v>
      </c>
      <c r="O66" s="2">
        <v>1</v>
      </c>
      <c r="P66" s="2" t="s">
        <v>27</v>
      </c>
      <c r="Q66" s="9" t="s">
        <v>46</v>
      </c>
      <c r="R66" s="3" t="str">
        <f>IFERROR(TEXT('RAW DATA'!B66,"MMMM"),"UKNNOWN")</f>
        <v>April</v>
      </c>
      <c r="S66" s="5">
        <f>IFERROR(MONTH('RAW DATA'!B66),0)</f>
        <v>4</v>
      </c>
      <c r="T66" s="2" t="str">
        <f t="shared" si="0"/>
        <v>Q2</v>
      </c>
      <c r="U66" s="2" t="str">
        <f>IF('RAW DATA'!I66&gt;20,"High",IF('RAW DATA'!I66&gt;10,"Medium","Low"))</f>
        <v>Low</v>
      </c>
      <c r="V66" s="2" t="str">
        <f>IF('RAW DATA'!B66="","Yes","No")</f>
        <v>No</v>
      </c>
      <c r="W66" s="2" t="str">
        <f>IF(COUNTIF(A$2:A365,A66)&gt;1,"Duplicate","OK")</f>
        <v>OK</v>
      </c>
      <c r="X66">
        <f t="shared" si="1"/>
        <v>4</v>
      </c>
    </row>
    <row r="67" spans="1:24" x14ac:dyDescent="0.25">
      <c r="A67" s="3" t="s">
        <v>198</v>
      </c>
      <c r="B67" s="3" t="s">
        <v>199</v>
      </c>
      <c r="C67" s="3" t="s">
        <v>49</v>
      </c>
      <c r="D67" s="2" t="str">
        <f>PROPER('RAW DATA'!D67)</f>
        <v>Frank Nzeyimana</v>
      </c>
      <c r="E67" s="3" t="s">
        <v>41</v>
      </c>
      <c r="F67" s="3" t="s">
        <v>42</v>
      </c>
      <c r="G67" s="3" t="s">
        <v>43</v>
      </c>
      <c r="H67" s="3" t="s">
        <v>80</v>
      </c>
      <c r="I67" s="5">
        <f>IFERROR(IF('RAW DATA'!I67="",AVERAGE('RAW DATA'!I$2:I$301),'RAW DATA'!I67),0)</f>
        <v>6</v>
      </c>
      <c r="J67" s="3">
        <v>5.8</v>
      </c>
      <c r="K67" s="3" t="s">
        <v>24</v>
      </c>
      <c r="L67" s="2">
        <f>IFERROR(IF('RAW DATA'!L67="",3,'RAW DATA'!L67),3)</f>
        <v>4</v>
      </c>
      <c r="M67" s="3" t="s">
        <v>25</v>
      </c>
      <c r="N67" s="3" t="s">
        <v>26</v>
      </c>
      <c r="O67" s="3">
        <v>0</v>
      </c>
      <c r="P67" s="3" t="s">
        <v>45</v>
      </c>
      <c r="Q67" s="10" t="s">
        <v>53</v>
      </c>
      <c r="R67" s="2" t="str">
        <f>IFERROR(TEXT('RAW DATA'!B67,"MMMM"),"UKNNOWN")</f>
        <v>October</v>
      </c>
      <c r="S67" s="5">
        <f>IFERROR(MONTH('RAW DATA'!B67),0)</f>
        <v>10</v>
      </c>
      <c r="T67" s="3" t="str">
        <f t="shared" ref="T67:T130" si="2">IF(S67&lt;=3,"Q1",IF(S67&lt;=6,"Q2",IF(S67&lt;=9,"Q3","Q4")))</f>
        <v>Q4</v>
      </c>
      <c r="U67" s="3" t="str">
        <f>IF('RAW DATA'!I67&gt;20,"High",IF('RAW DATA'!I67&gt;10,"Medium","Low"))</f>
        <v>Low</v>
      </c>
      <c r="V67" s="3" t="str">
        <f>IF('RAW DATA'!B67="","Yes","No")</f>
        <v>No</v>
      </c>
      <c r="W67" s="2" t="str">
        <f>IF(COUNTIF(A$2:A366,A67)&gt;1,"Duplicate","OK")</f>
        <v>OK</v>
      </c>
      <c r="X67">
        <f t="shared" ref="X67:X130" si="3">IFERROR(L67,L68)</f>
        <v>4</v>
      </c>
    </row>
    <row r="68" spans="1:24" x14ac:dyDescent="0.25">
      <c r="A68" s="2" t="s">
        <v>200</v>
      </c>
      <c r="B68" s="2" t="s">
        <v>201</v>
      </c>
      <c r="C68" s="2" t="s">
        <v>70</v>
      </c>
      <c r="D68" s="2" t="str">
        <f>PROPER('RAW DATA'!D68)</f>
        <v>Claire Mukamana</v>
      </c>
      <c r="E68" s="2" t="s">
        <v>33</v>
      </c>
      <c r="F68" s="2" t="s">
        <v>34</v>
      </c>
      <c r="G68" s="2" t="s">
        <v>43</v>
      </c>
      <c r="H68" s="2" t="s">
        <v>80</v>
      </c>
      <c r="I68" s="5">
        <f>IFERROR(IF('RAW DATA'!I68="",AVERAGE('RAW DATA'!I$2:I$301),'RAW DATA'!I68),0)</f>
        <v>9.8000000000000007</v>
      </c>
      <c r="J68" s="2">
        <v>7.1</v>
      </c>
      <c r="K68" s="2" t="s">
        <v>26</v>
      </c>
      <c r="L68" s="2">
        <f>IFERROR(IF('RAW DATA'!L68="",3,'RAW DATA'!L68),3)</f>
        <v>3</v>
      </c>
      <c r="M68" s="2" t="s">
        <v>81</v>
      </c>
      <c r="N68" s="2" t="s">
        <v>26</v>
      </c>
      <c r="O68" s="2">
        <v>0</v>
      </c>
      <c r="P68" s="2" t="s">
        <v>66</v>
      </c>
      <c r="Q68" s="9" t="s">
        <v>73</v>
      </c>
      <c r="R68" s="3" t="str">
        <f>IFERROR(TEXT('RAW DATA'!B68,"MMMM"),"UKNNOWN")</f>
        <v>October</v>
      </c>
      <c r="S68" s="5">
        <f>IFERROR(MONTH('RAW DATA'!B68),0)</f>
        <v>10</v>
      </c>
      <c r="T68" s="2" t="str">
        <f t="shared" si="2"/>
        <v>Q4</v>
      </c>
      <c r="U68" s="2" t="str">
        <f>IF('RAW DATA'!I68&gt;20,"High",IF('RAW DATA'!I68&gt;10,"Medium","Low"))</f>
        <v>Low</v>
      </c>
      <c r="V68" s="2" t="str">
        <f>IF('RAW DATA'!B68="","Yes","No")</f>
        <v>No</v>
      </c>
      <c r="W68" s="2" t="str">
        <f>IF(COUNTIF(A$2:A367,A68)&gt;1,"Duplicate","OK")</f>
        <v>OK</v>
      </c>
      <c r="X68">
        <f t="shared" si="3"/>
        <v>3</v>
      </c>
    </row>
    <row r="69" spans="1:24" x14ac:dyDescent="0.25">
      <c r="A69" s="3" t="s">
        <v>202</v>
      </c>
      <c r="B69" s="3" t="s">
        <v>203</v>
      </c>
      <c r="C69" s="3" t="s">
        <v>105</v>
      </c>
      <c r="D69" s="2" t="str">
        <f>PROPER('RAW DATA'!D69)</f>
        <v>Alice Uwimana</v>
      </c>
      <c r="E69" s="3" t="s">
        <v>20</v>
      </c>
      <c r="F69" s="3" t="s">
        <v>21</v>
      </c>
      <c r="G69" s="3" t="s">
        <v>22</v>
      </c>
      <c r="H69" s="3" t="s">
        <v>58</v>
      </c>
      <c r="I69" s="5">
        <f>IFERROR(IF('RAW DATA'!I69="",AVERAGE('RAW DATA'!I$2:I$301),'RAW DATA'!I69),0)</f>
        <v>7.6</v>
      </c>
      <c r="J69" s="3">
        <v>3</v>
      </c>
      <c r="K69" s="3" t="s">
        <v>26</v>
      </c>
      <c r="L69" s="2">
        <f>IFERROR(IF('RAW DATA'!L69="",3,'RAW DATA'!L69),3)</f>
        <v>1</v>
      </c>
      <c r="M69" s="3" t="s">
        <v>25</v>
      </c>
      <c r="N69" s="3" t="s">
        <v>24</v>
      </c>
      <c r="O69" s="3">
        <v>2</v>
      </c>
      <c r="P69" s="3" t="s">
        <v>13</v>
      </c>
      <c r="Q69" s="10" t="s">
        <v>107</v>
      </c>
      <c r="R69" s="2" t="str">
        <f>IFERROR(TEXT('RAW DATA'!B69,"MMMM"),"UKNNOWN")</f>
        <v>June</v>
      </c>
      <c r="S69" s="5">
        <f>IFERROR(MONTH('RAW DATA'!B69),0)</f>
        <v>6</v>
      </c>
      <c r="T69" s="3" t="str">
        <f t="shared" si="2"/>
        <v>Q2</v>
      </c>
      <c r="U69" s="3" t="str">
        <f>IF('RAW DATA'!I69&gt;20,"High",IF('RAW DATA'!I69&gt;10,"Medium","Low"))</f>
        <v>Low</v>
      </c>
      <c r="V69" s="3" t="str">
        <f>IF('RAW DATA'!B69="","Yes","No")</f>
        <v>No</v>
      </c>
      <c r="W69" s="2" t="str">
        <f>IF(COUNTIF(A$2:A368,A69)&gt;1,"Duplicate","OK")</f>
        <v>OK</v>
      </c>
      <c r="X69">
        <f t="shared" si="3"/>
        <v>1</v>
      </c>
    </row>
    <row r="70" spans="1:24" x14ac:dyDescent="0.25">
      <c r="A70" s="2" t="s">
        <v>204</v>
      </c>
      <c r="B70" s="2" t="s">
        <v>205</v>
      </c>
      <c r="C70" s="2" t="s">
        <v>78</v>
      </c>
      <c r="D70" s="2" t="str">
        <f>PROPER('RAW DATA'!D70)</f>
        <v>Eve Ingabire</v>
      </c>
      <c r="E70" s="2" t="s">
        <v>20</v>
      </c>
      <c r="F70" s="2" t="s">
        <v>21</v>
      </c>
      <c r="G70" s="2" t="s">
        <v>43</v>
      </c>
      <c r="H70" s="2" t="s">
        <v>58</v>
      </c>
      <c r="I70" s="5">
        <f>IFERROR(IF('RAW DATA'!I70="",AVERAGE('RAW DATA'!I$2:I$301),'RAW DATA'!I70),0)</f>
        <v>4.8</v>
      </c>
      <c r="J70" s="2">
        <v>4.4000000000000004</v>
      </c>
      <c r="K70" s="2" t="s">
        <v>24</v>
      </c>
      <c r="L70" s="2">
        <f>IFERROR(IF('RAW DATA'!L70="",3,'RAW DATA'!L70),3)</f>
        <v>3</v>
      </c>
      <c r="M70" s="2" t="s">
        <v>59</v>
      </c>
      <c r="N70" s="2" t="s">
        <v>26</v>
      </c>
      <c r="O70" s="2">
        <v>1</v>
      </c>
      <c r="P70" s="2" t="s">
        <v>52</v>
      </c>
      <c r="Q70" s="9" t="s">
        <v>82</v>
      </c>
      <c r="R70" s="3" t="str">
        <f>IFERROR(TEXT('RAW DATA'!B70,"MMMM"),"UKNNOWN")</f>
        <v>October</v>
      </c>
      <c r="S70" s="5">
        <f>IFERROR(MONTH('RAW DATA'!B70),0)</f>
        <v>10</v>
      </c>
      <c r="T70" s="2" t="str">
        <f t="shared" si="2"/>
        <v>Q4</v>
      </c>
      <c r="U70" s="2" t="str">
        <f>IF('RAW DATA'!I70&gt;20,"High",IF('RAW DATA'!I70&gt;10,"Medium","Low"))</f>
        <v>Low</v>
      </c>
      <c r="V70" s="2" t="str">
        <f>IF('RAW DATA'!B70="","Yes","No")</f>
        <v>No</v>
      </c>
      <c r="W70" s="2" t="str">
        <f>IF(COUNTIF(A$2:A369,A70)&gt;1,"Duplicate","OK")</f>
        <v>OK</v>
      </c>
      <c r="X70">
        <f t="shared" si="3"/>
        <v>3</v>
      </c>
    </row>
    <row r="71" spans="1:24" x14ac:dyDescent="0.25">
      <c r="A71" s="3" t="s">
        <v>206</v>
      </c>
      <c r="B71" s="3" t="s">
        <v>207</v>
      </c>
      <c r="C71" s="3" t="s">
        <v>18</v>
      </c>
      <c r="D71" s="2" t="str">
        <f>PROPER('RAW DATA'!D71)</f>
        <v>Bob Nshimiyimana</v>
      </c>
      <c r="E71" s="3" t="s">
        <v>20</v>
      </c>
      <c r="F71" s="3" t="s">
        <v>21</v>
      </c>
      <c r="G71" s="3" t="s">
        <v>41</v>
      </c>
      <c r="H71" s="3" t="s">
        <v>44</v>
      </c>
      <c r="I71" s="5">
        <f>IFERROR(IF('RAW DATA'!I71="",AVERAGE('RAW DATA'!I$2:I$301),'RAW DATA'!I71),0)</f>
        <v>4</v>
      </c>
      <c r="J71" s="3">
        <v>2.6</v>
      </c>
      <c r="K71" s="3" t="s">
        <v>26</v>
      </c>
      <c r="L71" s="2">
        <f>IFERROR(IF('RAW DATA'!L71="",3,'RAW DATA'!L71),3)</f>
        <v>3</v>
      </c>
      <c r="M71" s="3" t="s">
        <v>51</v>
      </c>
      <c r="N71" s="3" t="s">
        <v>24</v>
      </c>
      <c r="O71" s="3">
        <v>1</v>
      </c>
      <c r="P71" s="3" t="s">
        <v>45</v>
      </c>
      <c r="Q71" s="10" t="s">
        <v>28</v>
      </c>
      <c r="R71" s="2" t="str">
        <f>IFERROR(TEXT('RAW DATA'!B71,"MMMM"),"UKNNOWN")</f>
        <v>September</v>
      </c>
      <c r="S71" s="5">
        <f>IFERROR(MONTH('RAW DATA'!B71),0)</f>
        <v>9</v>
      </c>
      <c r="T71" s="3" t="str">
        <f t="shared" si="2"/>
        <v>Q3</v>
      </c>
      <c r="U71" s="3" t="str">
        <f>IF('RAW DATA'!I71&gt;20,"High",IF('RAW DATA'!I71&gt;10,"Medium","Low"))</f>
        <v>Low</v>
      </c>
      <c r="V71" s="3" t="str">
        <f>IF('RAW DATA'!B71="","Yes","No")</f>
        <v>No</v>
      </c>
      <c r="W71" s="2" t="str">
        <f>IF(COUNTIF(A$2:A370,A71)&gt;1,"Duplicate","OK")</f>
        <v>OK</v>
      </c>
      <c r="X71">
        <f t="shared" si="3"/>
        <v>3</v>
      </c>
    </row>
    <row r="72" spans="1:24" x14ac:dyDescent="0.25">
      <c r="A72" s="2" t="s">
        <v>208</v>
      </c>
      <c r="B72" s="2" t="s">
        <v>209</v>
      </c>
      <c r="C72" s="2" t="s">
        <v>56</v>
      </c>
      <c r="D72" s="2" t="str">
        <f>PROPER('RAW DATA'!D72)</f>
        <v>John Gasana</v>
      </c>
      <c r="E72" s="2" t="s">
        <v>41</v>
      </c>
      <c r="F72" s="2" t="s">
        <v>42</v>
      </c>
      <c r="G72" s="2" t="s">
        <v>41</v>
      </c>
      <c r="H72" s="2" t="s">
        <v>44</v>
      </c>
      <c r="I72" s="5">
        <f>IFERROR(IF('RAW DATA'!I72="",AVERAGE('RAW DATA'!I$2:I$301),'RAW DATA'!I72),0)</f>
        <v>7.6041237113402103</v>
      </c>
      <c r="J72" s="2">
        <v>6.4</v>
      </c>
      <c r="K72" s="2" t="s">
        <v>24</v>
      </c>
      <c r="L72" s="2">
        <f>IFERROR(IF('RAW DATA'!L72="",3,'RAW DATA'!L72),3)</f>
        <v>4</v>
      </c>
      <c r="M72" s="2" t="s">
        <v>90</v>
      </c>
      <c r="N72" s="2" t="s">
        <v>26</v>
      </c>
      <c r="O72" s="2">
        <v>1</v>
      </c>
      <c r="P72" s="2" t="s">
        <v>66</v>
      </c>
      <c r="Q72" s="9" t="s">
        <v>60</v>
      </c>
      <c r="R72" s="3" t="str">
        <f>IFERROR(TEXT('RAW DATA'!B72,"MMMM"),"UKNNOWN")</f>
        <v>November</v>
      </c>
      <c r="S72" s="5">
        <f>IFERROR(MONTH('RAW DATA'!B72),0)</f>
        <v>11</v>
      </c>
      <c r="T72" s="2" t="str">
        <f t="shared" si="2"/>
        <v>Q4</v>
      </c>
      <c r="U72" s="2" t="str">
        <f>IF('RAW DATA'!I72&gt;20,"High",IF('RAW DATA'!I72&gt;10,"Medium","Low"))</f>
        <v>Low</v>
      </c>
      <c r="V72" s="2" t="str">
        <f>IF('RAW DATA'!B72="","Yes","No")</f>
        <v>No</v>
      </c>
      <c r="W72" s="2" t="str">
        <f>IF(COUNTIF(A$2:A371,A72)&gt;1,"Duplicate","OK")</f>
        <v>OK</v>
      </c>
      <c r="X72">
        <f t="shared" si="3"/>
        <v>4</v>
      </c>
    </row>
    <row r="73" spans="1:24" x14ac:dyDescent="0.25">
      <c r="A73" s="3" t="s">
        <v>210</v>
      </c>
      <c r="B73" s="3" t="s">
        <v>192</v>
      </c>
      <c r="C73" s="3" t="s">
        <v>56</v>
      </c>
      <c r="D73" s="2" t="str">
        <f>PROPER('RAW DATA'!D73)</f>
        <v>John Gasana</v>
      </c>
      <c r="E73" s="3" t="s">
        <v>41</v>
      </c>
      <c r="F73" s="3" t="s">
        <v>42</v>
      </c>
      <c r="G73" s="3" t="s">
        <v>43</v>
      </c>
      <c r="H73" s="3" t="s">
        <v>65</v>
      </c>
      <c r="I73" s="5">
        <f>IFERROR(IF('RAW DATA'!I73="",AVERAGE('RAW DATA'!I$2:I$301),'RAW DATA'!I73),0)</f>
        <v>15.1</v>
      </c>
      <c r="J73" s="3">
        <v>5.9</v>
      </c>
      <c r="K73" s="3" t="s">
        <v>26</v>
      </c>
      <c r="L73" s="2">
        <f>IFERROR(IF('RAW DATA'!L73="",3,'RAW DATA'!L73),3)</f>
        <v>2</v>
      </c>
      <c r="M73" s="3" t="s">
        <v>81</v>
      </c>
      <c r="N73" s="3" t="s">
        <v>26</v>
      </c>
      <c r="O73" s="3">
        <v>0</v>
      </c>
      <c r="P73" s="3" t="s">
        <v>66</v>
      </c>
      <c r="Q73" s="10" t="s">
        <v>60</v>
      </c>
      <c r="R73" s="2" t="str">
        <f>IFERROR(TEXT('RAW DATA'!B73,"MMMM"),"UKNNOWN")</f>
        <v>October</v>
      </c>
      <c r="S73" s="5">
        <f>IFERROR(MONTH('RAW DATA'!B73),0)</f>
        <v>10</v>
      </c>
      <c r="T73" s="3" t="str">
        <f t="shared" si="2"/>
        <v>Q4</v>
      </c>
      <c r="U73" s="3" t="str">
        <f>IF('RAW DATA'!I73&gt;20,"High",IF('RAW DATA'!I73&gt;10,"Medium","Low"))</f>
        <v>Medium</v>
      </c>
      <c r="V73" s="3" t="str">
        <f>IF('RAW DATA'!B73="","Yes","No")</f>
        <v>No</v>
      </c>
      <c r="W73" s="2" t="str">
        <f>IF(COUNTIF(A$2:A372,A73)&gt;1,"Duplicate","OK")</f>
        <v>OK</v>
      </c>
      <c r="X73">
        <f t="shared" si="3"/>
        <v>2</v>
      </c>
    </row>
    <row r="74" spans="1:24" x14ac:dyDescent="0.25">
      <c r="A74" s="2" t="s">
        <v>211</v>
      </c>
      <c r="B74" s="2" t="s">
        <v>212</v>
      </c>
      <c r="C74" s="2" t="s">
        <v>85</v>
      </c>
      <c r="D74" s="2" t="str">
        <f>PROPER('RAW DATA'!D74)</f>
        <v>Irene Mutesi</v>
      </c>
      <c r="E74" s="2" t="s">
        <v>20</v>
      </c>
      <c r="F74" s="2" t="s">
        <v>21</v>
      </c>
      <c r="G74" s="2" t="s">
        <v>43</v>
      </c>
      <c r="H74" s="2" t="s">
        <v>72</v>
      </c>
      <c r="I74" s="5">
        <f>IFERROR(IF('RAW DATA'!I74="",AVERAGE('RAW DATA'!I$2:I$301),'RAW DATA'!I74),0)</f>
        <v>8.1999999999999993</v>
      </c>
      <c r="J74" s="2">
        <v>4.0999999999999996</v>
      </c>
      <c r="K74" s="2" t="s">
        <v>24</v>
      </c>
      <c r="L74" s="2">
        <f>IFERROR(IF('RAW DATA'!L74="",3,'RAW DATA'!L74),3)</f>
        <v>4</v>
      </c>
      <c r="M74" s="2" t="s">
        <v>90</v>
      </c>
      <c r="N74" s="2" t="s">
        <v>26</v>
      </c>
      <c r="O74" s="2">
        <v>1</v>
      </c>
      <c r="P74" s="2" t="s">
        <v>66</v>
      </c>
      <c r="Q74" s="9" t="s">
        <v>87</v>
      </c>
      <c r="R74" s="3" t="str">
        <f>IFERROR(TEXT('RAW DATA'!B74,"MMMM"),"UKNNOWN")</f>
        <v>March</v>
      </c>
      <c r="S74" s="5">
        <f>IFERROR(MONTH('RAW DATA'!B74),0)</f>
        <v>3</v>
      </c>
      <c r="T74" s="2" t="str">
        <f t="shared" si="2"/>
        <v>Q1</v>
      </c>
      <c r="U74" s="2" t="str">
        <f>IF('RAW DATA'!I74&gt;20,"High",IF('RAW DATA'!I74&gt;10,"Medium","Low"))</f>
        <v>Low</v>
      </c>
      <c r="V74" s="2" t="str">
        <f>IF('RAW DATA'!B74="","Yes","No")</f>
        <v>No</v>
      </c>
      <c r="W74" s="2" t="str">
        <f>IF(COUNTIF(A$2:A373,A74)&gt;1,"Duplicate","OK")</f>
        <v>OK</v>
      </c>
      <c r="X74">
        <f t="shared" si="3"/>
        <v>4</v>
      </c>
    </row>
    <row r="75" spans="1:24" x14ac:dyDescent="0.25">
      <c r="A75" s="3" t="s">
        <v>213</v>
      </c>
      <c r="B75" s="3" t="s">
        <v>135</v>
      </c>
      <c r="C75" s="3" t="s">
        <v>78</v>
      </c>
      <c r="D75" s="2" t="str">
        <f>PROPER('RAW DATA'!D75)</f>
        <v>Eve Ingabire</v>
      </c>
      <c r="E75" s="3" t="s">
        <v>20</v>
      </c>
      <c r="F75" s="3" t="s">
        <v>21</v>
      </c>
      <c r="G75" s="3" t="s">
        <v>43</v>
      </c>
      <c r="H75" s="3" t="s">
        <v>44</v>
      </c>
      <c r="I75" s="5">
        <f>IFERROR(IF('RAW DATA'!I75="",AVERAGE('RAW DATA'!I$2:I$301),'RAW DATA'!I75),0)</f>
        <v>7</v>
      </c>
      <c r="J75" s="3">
        <v>1.9</v>
      </c>
      <c r="K75" s="3" t="s">
        <v>24</v>
      </c>
      <c r="L75" s="2">
        <f>IFERROR(IF('RAW DATA'!L75="",3,'RAW DATA'!L75),3)</f>
        <v>5</v>
      </c>
      <c r="M75" s="3" t="s">
        <v>25</v>
      </c>
      <c r="N75" s="3" t="s">
        <v>26</v>
      </c>
      <c r="O75" s="3">
        <v>1</v>
      </c>
      <c r="P75" s="3" t="s">
        <v>27</v>
      </c>
      <c r="Q75" s="10" t="s">
        <v>82</v>
      </c>
      <c r="R75" s="2" t="str">
        <f>IFERROR(TEXT('RAW DATA'!B75,"MMMM"),"UKNNOWN")</f>
        <v>December</v>
      </c>
      <c r="S75" s="5">
        <f>IFERROR(MONTH('RAW DATA'!B75),0)</f>
        <v>12</v>
      </c>
      <c r="T75" s="3" t="str">
        <f t="shared" si="2"/>
        <v>Q4</v>
      </c>
      <c r="U75" s="3" t="str">
        <f>IF('RAW DATA'!I75&gt;20,"High",IF('RAW DATA'!I75&gt;10,"Medium","Low"))</f>
        <v>Low</v>
      </c>
      <c r="V75" s="3" t="str">
        <f>IF('RAW DATA'!B75="","Yes","No")</f>
        <v>No</v>
      </c>
      <c r="W75" s="2" t="str">
        <f>IF(COUNTIF(A$2:A374,A75)&gt;1,"Duplicate","OK")</f>
        <v>OK</v>
      </c>
      <c r="X75">
        <f t="shared" si="3"/>
        <v>5</v>
      </c>
    </row>
    <row r="76" spans="1:24" x14ac:dyDescent="0.25">
      <c r="A76" s="2" t="s">
        <v>214</v>
      </c>
      <c r="B76" s="2" t="s">
        <v>215</v>
      </c>
      <c r="C76" s="2" t="s">
        <v>31</v>
      </c>
      <c r="D76" s="2" t="str">
        <f>PROPER('RAW DATA'!D76)</f>
        <v>David Habimana</v>
      </c>
      <c r="E76" s="2" t="s">
        <v>33</v>
      </c>
      <c r="F76" s="2" t="s">
        <v>34</v>
      </c>
      <c r="G76" s="2" t="s">
        <v>43</v>
      </c>
      <c r="H76" s="2" t="s">
        <v>35</v>
      </c>
      <c r="I76" s="5">
        <f>IFERROR(IF('RAW DATA'!I76="",AVERAGE('RAW DATA'!I$2:I$301),'RAW DATA'!I76),0)</f>
        <v>4.0999999999999996</v>
      </c>
      <c r="J76" s="2">
        <v>0.5</v>
      </c>
      <c r="K76" s="2" t="s">
        <v>24</v>
      </c>
      <c r="L76" s="2">
        <f>IFERROR(IF('RAW DATA'!L76="",3,'RAW DATA'!L76),3)</f>
        <v>5</v>
      </c>
      <c r="M76" s="2" t="s">
        <v>51</v>
      </c>
      <c r="N76" s="2" t="s">
        <v>26</v>
      </c>
      <c r="O76" s="2">
        <v>0</v>
      </c>
      <c r="P76" s="2" t="s">
        <v>45</v>
      </c>
      <c r="Q76" s="9" t="s">
        <v>36</v>
      </c>
      <c r="R76" s="3" t="str">
        <f>IFERROR(TEXT('RAW DATA'!B76,"MMMM"),"UKNNOWN")</f>
        <v>October</v>
      </c>
      <c r="S76" s="5">
        <f>IFERROR(MONTH('RAW DATA'!B76),0)</f>
        <v>10</v>
      </c>
      <c r="T76" s="2" t="str">
        <f t="shared" si="2"/>
        <v>Q4</v>
      </c>
      <c r="U76" s="2" t="str">
        <f>IF('RAW DATA'!I76&gt;20,"High",IF('RAW DATA'!I76&gt;10,"Medium","Low"))</f>
        <v>Low</v>
      </c>
      <c r="V76" s="2" t="str">
        <f>IF('RAW DATA'!B76="","Yes","No")</f>
        <v>No</v>
      </c>
      <c r="W76" s="2" t="str">
        <f>IF(COUNTIF(A$2:A375,A76)&gt;1,"Duplicate","OK")</f>
        <v>OK</v>
      </c>
      <c r="X76">
        <f t="shared" si="3"/>
        <v>5</v>
      </c>
    </row>
    <row r="77" spans="1:24" x14ac:dyDescent="0.25">
      <c r="A77" s="3" t="s">
        <v>216</v>
      </c>
      <c r="B77" s="3" t="s">
        <v>192</v>
      </c>
      <c r="C77" s="3" t="s">
        <v>78</v>
      </c>
      <c r="D77" s="2" t="str">
        <f>PROPER('RAW DATA'!D77)</f>
        <v>Eve Ingabire</v>
      </c>
      <c r="E77" s="3" t="s">
        <v>20</v>
      </c>
      <c r="F77" s="3" t="s">
        <v>21</v>
      </c>
      <c r="G77" s="3" t="s">
        <v>41</v>
      </c>
      <c r="H77" s="3" t="s">
        <v>95</v>
      </c>
      <c r="I77" s="5">
        <f>IFERROR(IF('RAW DATA'!I77="",AVERAGE('RAW DATA'!I$2:I$301),'RAW DATA'!I77),0)</f>
        <v>4.9000000000000004</v>
      </c>
      <c r="J77" s="3">
        <v>4.8</v>
      </c>
      <c r="K77" s="3" t="s">
        <v>24</v>
      </c>
      <c r="L77" s="2">
        <f>IFERROR(IF('RAW DATA'!L77="",3,'RAW DATA'!L77),3)</f>
        <v>4</v>
      </c>
      <c r="M77" s="3" t="s">
        <v>59</v>
      </c>
      <c r="N77" s="3" t="s">
        <v>26</v>
      </c>
      <c r="O77" s="3">
        <v>1</v>
      </c>
      <c r="P77" s="3" t="s">
        <v>66</v>
      </c>
      <c r="Q77" s="10" t="s">
        <v>82</v>
      </c>
      <c r="R77" s="2" t="str">
        <f>IFERROR(TEXT('RAW DATA'!B77,"MMMM"),"UKNNOWN")</f>
        <v>October</v>
      </c>
      <c r="S77" s="5">
        <f>IFERROR(MONTH('RAW DATA'!B77),0)</f>
        <v>10</v>
      </c>
      <c r="T77" s="3" t="str">
        <f t="shared" si="2"/>
        <v>Q4</v>
      </c>
      <c r="U77" s="3" t="str">
        <f>IF('RAW DATA'!I77&gt;20,"High",IF('RAW DATA'!I77&gt;10,"Medium","Low"))</f>
        <v>Low</v>
      </c>
      <c r="V77" s="3" t="str">
        <f>IF('RAW DATA'!B77="","Yes","No")</f>
        <v>No</v>
      </c>
      <c r="W77" s="2" t="str">
        <f>IF(COUNTIF(A$2:A376,A77)&gt;1,"Duplicate","OK")</f>
        <v>OK</v>
      </c>
      <c r="X77">
        <f t="shared" si="3"/>
        <v>4</v>
      </c>
    </row>
    <row r="78" spans="1:24" x14ac:dyDescent="0.25">
      <c r="A78" s="2" t="s">
        <v>217</v>
      </c>
      <c r="B78" s="2" t="s">
        <v>218</v>
      </c>
      <c r="C78" s="2" t="s">
        <v>56</v>
      </c>
      <c r="D78" s="2" t="str">
        <f>PROPER('RAW DATA'!D78)</f>
        <v>John Gasana</v>
      </c>
      <c r="E78" s="2" t="s">
        <v>41</v>
      </c>
      <c r="F78" s="2" t="s">
        <v>42</v>
      </c>
      <c r="G78" s="2" t="s">
        <v>43</v>
      </c>
      <c r="H78" s="2" t="s">
        <v>72</v>
      </c>
      <c r="I78" s="5">
        <f>IFERROR(IF('RAW DATA'!I78="",AVERAGE('RAW DATA'!I$2:I$301),'RAW DATA'!I78),0)</f>
        <v>11.1</v>
      </c>
      <c r="J78" s="2">
        <v>4.5</v>
      </c>
      <c r="K78" s="2" t="s">
        <v>24</v>
      </c>
      <c r="L78" s="2">
        <f>IFERROR(IF('RAW DATA'!L78="",3,'RAW DATA'!L78),3)</f>
        <v>4</v>
      </c>
      <c r="M78" s="2" t="s">
        <v>51</v>
      </c>
      <c r="N78" s="2" t="s">
        <v>26</v>
      </c>
      <c r="O78" s="2">
        <v>1</v>
      </c>
      <c r="P78" s="2" t="s">
        <v>45</v>
      </c>
      <c r="Q78" s="9" t="s">
        <v>60</v>
      </c>
      <c r="R78" s="3" t="str">
        <f>IFERROR(TEXT('RAW DATA'!B78,"MMMM"),"UKNNOWN")</f>
        <v>February</v>
      </c>
      <c r="S78" s="5">
        <f>IFERROR(MONTH('RAW DATA'!B78),0)</f>
        <v>2</v>
      </c>
      <c r="T78" s="2" t="str">
        <f t="shared" si="2"/>
        <v>Q1</v>
      </c>
      <c r="U78" s="2" t="str">
        <f>IF('RAW DATA'!I78&gt;20,"High",IF('RAW DATA'!I78&gt;10,"Medium","Low"))</f>
        <v>Medium</v>
      </c>
      <c r="V78" s="2" t="str">
        <f>IF('RAW DATA'!B78="","Yes","No")</f>
        <v>No</v>
      </c>
      <c r="W78" s="2" t="str">
        <f>IF(COUNTIF(A$2:A377,A78)&gt;1,"Duplicate","OK")</f>
        <v>OK</v>
      </c>
      <c r="X78">
        <f t="shared" si="3"/>
        <v>4</v>
      </c>
    </row>
    <row r="79" spans="1:24" x14ac:dyDescent="0.25">
      <c r="A79" s="3" t="s">
        <v>219</v>
      </c>
      <c r="B79" s="3" t="s">
        <v>220</v>
      </c>
      <c r="C79" s="3" t="s">
        <v>105</v>
      </c>
      <c r="D79" s="2" t="str">
        <f>PROPER('RAW DATA'!D79)</f>
        <v>Alice Uwimana</v>
      </c>
      <c r="E79" s="3" t="s">
        <v>20</v>
      </c>
      <c r="F79" s="3" t="s">
        <v>21</v>
      </c>
      <c r="G79" s="3" t="s">
        <v>41</v>
      </c>
      <c r="H79" s="3" t="s">
        <v>95</v>
      </c>
      <c r="I79" s="5">
        <f>IFERROR(IF('RAW DATA'!I79="",AVERAGE('RAW DATA'!I$2:I$301),'RAW DATA'!I79),0)</f>
        <v>12.5</v>
      </c>
      <c r="J79" s="3">
        <v>4</v>
      </c>
      <c r="K79" s="3" t="s">
        <v>24</v>
      </c>
      <c r="L79" s="2">
        <f>IFERROR(IF('RAW DATA'!L79="",3,'RAW DATA'!L79),3)</f>
        <v>3</v>
      </c>
      <c r="M79" s="3" t="s">
        <v>90</v>
      </c>
      <c r="N79" s="3" t="s">
        <v>26</v>
      </c>
      <c r="O79" s="3">
        <v>0</v>
      </c>
      <c r="P79" s="3" t="s">
        <v>52</v>
      </c>
      <c r="Q79" s="10" t="s">
        <v>107</v>
      </c>
      <c r="R79" s="2" t="str">
        <f>IFERROR(TEXT('RAW DATA'!B79,"MMMM"),"UKNNOWN")</f>
        <v>October</v>
      </c>
      <c r="S79" s="5">
        <f>IFERROR(MONTH('RAW DATA'!B79),0)</f>
        <v>10</v>
      </c>
      <c r="T79" s="3" t="str">
        <f t="shared" si="2"/>
        <v>Q4</v>
      </c>
      <c r="U79" s="3" t="str">
        <f>IF('RAW DATA'!I79&gt;20,"High",IF('RAW DATA'!I79&gt;10,"Medium","Low"))</f>
        <v>Medium</v>
      </c>
      <c r="V79" s="3" t="str">
        <f>IF('RAW DATA'!B79="","Yes","No")</f>
        <v>No</v>
      </c>
      <c r="W79" s="2" t="str">
        <f>IF(COUNTIF(A$2:A378,A79)&gt;1,"Duplicate","OK")</f>
        <v>OK</v>
      </c>
      <c r="X79">
        <f t="shared" si="3"/>
        <v>3</v>
      </c>
    </row>
    <row r="80" spans="1:24" x14ac:dyDescent="0.25">
      <c r="A80" s="2" t="s">
        <v>221</v>
      </c>
      <c r="B80" s="2" t="s">
        <v>222</v>
      </c>
      <c r="C80" s="2" t="s">
        <v>56</v>
      </c>
      <c r="D80" s="2" t="str">
        <f>PROPER('RAW DATA'!D80)</f>
        <v>John Gasana</v>
      </c>
      <c r="E80" s="2" t="s">
        <v>41</v>
      </c>
      <c r="F80" s="2" t="s">
        <v>42</v>
      </c>
      <c r="G80" s="2" t="s">
        <v>22</v>
      </c>
      <c r="H80" s="2" t="s">
        <v>80</v>
      </c>
      <c r="I80" s="5">
        <f>IFERROR(IF('RAW DATA'!I80="",AVERAGE('RAW DATA'!I$2:I$301),'RAW DATA'!I80),0)</f>
        <v>2.9</v>
      </c>
      <c r="J80" s="2">
        <v>5.4</v>
      </c>
      <c r="K80" s="2" t="s">
        <v>24</v>
      </c>
      <c r="L80" s="2">
        <f>IFERROR(IF('RAW DATA'!L80="",3,'RAW DATA'!L80),3)</f>
        <v>5</v>
      </c>
      <c r="M80" s="2" t="s">
        <v>90</v>
      </c>
      <c r="N80" s="2" t="s">
        <v>26</v>
      </c>
      <c r="O80" s="2">
        <v>1</v>
      </c>
      <c r="P80" s="2" t="s">
        <v>66</v>
      </c>
      <c r="Q80" s="9" t="s">
        <v>60</v>
      </c>
      <c r="R80" s="3" t="str">
        <f>IFERROR(TEXT('RAW DATA'!B80,"MMMM"),"UKNNOWN")</f>
        <v>April</v>
      </c>
      <c r="S80" s="5">
        <f>IFERROR(MONTH('RAW DATA'!B80),0)</f>
        <v>4</v>
      </c>
      <c r="T80" s="2" t="str">
        <f t="shared" si="2"/>
        <v>Q2</v>
      </c>
      <c r="U80" s="2" t="str">
        <f>IF('RAW DATA'!I80&gt;20,"High",IF('RAW DATA'!I80&gt;10,"Medium","Low"))</f>
        <v>Low</v>
      </c>
      <c r="V80" s="2" t="str">
        <f>IF('RAW DATA'!B80="","Yes","No")</f>
        <v>No</v>
      </c>
      <c r="W80" s="2" t="str">
        <f>IF(COUNTIF(A$2:A379,A80)&gt;1,"Duplicate","OK")</f>
        <v>OK</v>
      </c>
      <c r="X80">
        <f t="shared" si="3"/>
        <v>5</v>
      </c>
    </row>
    <row r="81" spans="1:24" x14ac:dyDescent="0.25">
      <c r="A81" s="3" t="s">
        <v>223</v>
      </c>
      <c r="B81" s="3" t="s">
        <v>224</v>
      </c>
      <c r="C81" s="3" t="s">
        <v>18</v>
      </c>
      <c r="D81" s="2" t="str">
        <f>PROPER('RAW DATA'!D81)</f>
        <v>Bob Nshimiyimana</v>
      </c>
      <c r="E81" s="3" t="s">
        <v>20</v>
      </c>
      <c r="F81" s="3" t="s">
        <v>21</v>
      </c>
      <c r="G81" s="3" t="s">
        <v>41</v>
      </c>
      <c r="H81" s="3" t="s">
        <v>23</v>
      </c>
      <c r="I81" s="5">
        <f>IFERROR(IF('RAW DATA'!I81="",AVERAGE('RAW DATA'!I$2:I$301),'RAW DATA'!I81),0)</f>
        <v>9.6999999999999993</v>
      </c>
      <c r="J81" s="3">
        <v>2.6</v>
      </c>
      <c r="K81" s="3" t="s">
        <v>24</v>
      </c>
      <c r="L81" s="2">
        <f>IFERROR(IF('RAW DATA'!L81="",3,'RAW DATA'!L81),3)</f>
        <v>5</v>
      </c>
      <c r="M81" s="3" t="s">
        <v>59</v>
      </c>
      <c r="N81" s="3" t="s">
        <v>26</v>
      </c>
      <c r="O81" s="3">
        <v>1</v>
      </c>
      <c r="P81" s="3" t="s">
        <v>52</v>
      </c>
      <c r="Q81" s="10" t="s">
        <v>28</v>
      </c>
      <c r="R81" s="2" t="str">
        <f>IFERROR(TEXT('RAW DATA'!B81,"MMMM"),"UKNNOWN")</f>
        <v>December</v>
      </c>
      <c r="S81" s="5">
        <f>IFERROR(MONTH('RAW DATA'!B81),0)</f>
        <v>12</v>
      </c>
      <c r="T81" s="3" t="str">
        <f t="shared" si="2"/>
        <v>Q4</v>
      </c>
      <c r="U81" s="3" t="str">
        <f>IF('RAW DATA'!I81&gt;20,"High",IF('RAW DATA'!I81&gt;10,"Medium","Low"))</f>
        <v>Low</v>
      </c>
      <c r="V81" s="3" t="str">
        <f>IF('RAW DATA'!B81="","Yes","No")</f>
        <v>No</v>
      </c>
      <c r="W81" s="2" t="str">
        <f>IF(COUNTIF(A$2:A380,A81)&gt;1,"Duplicate","OK")</f>
        <v>OK</v>
      </c>
      <c r="X81">
        <f t="shared" si="3"/>
        <v>5</v>
      </c>
    </row>
    <row r="82" spans="1:24" x14ac:dyDescent="0.25">
      <c r="A82" s="2" t="s">
        <v>225</v>
      </c>
      <c r="B82" s="2" t="s">
        <v>226</v>
      </c>
      <c r="C82" s="2" t="s">
        <v>49</v>
      </c>
      <c r="D82" s="2" t="str">
        <f>PROPER('RAW DATA'!D82)</f>
        <v>Frank Nzeyimana</v>
      </c>
      <c r="E82" s="2" t="s">
        <v>41</v>
      </c>
      <c r="F82" s="2" t="s">
        <v>42</v>
      </c>
      <c r="G82" s="2" t="s">
        <v>22</v>
      </c>
      <c r="H82" s="2" t="s">
        <v>44</v>
      </c>
      <c r="I82" s="5">
        <f>IFERROR(IF('RAW DATA'!I82="",AVERAGE('RAW DATA'!I$2:I$301),'RAW DATA'!I82),0)</f>
        <v>8</v>
      </c>
      <c r="J82" s="2">
        <v>5</v>
      </c>
      <c r="K82" s="2" t="s">
        <v>24</v>
      </c>
      <c r="L82" s="2">
        <f>IFERROR(IF('RAW DATA'!L82="",3,'RAW DATA'!L82),3)</f>
        <v>3</v>
      </c>
      <c r="M82" s="2" t="s">
        <v>25</v>
      </c>
      <c r="N82" s="2" t="s">
        <v>26</v>
      </c>
      <c r="O82" s="2">
        <v>0</v>
      </c>
      <c r="P82" s="2" t="s">
        <v>27</v>
      </c>
      <c r="Q82" s="9" t="s">
        <v>53</v>
      </c>
      <c r="R82" s="3" t="str">
        <f>IFERROR(TEXT('RAW DATA'!B82,"MMMM"),"UKNNOWN")</f>
        <v>February</v>
      </c>
      <c r="S82" s="5">
        <f>IFERROR(MONTH('RAW DATA'!B82),0)</f>
        <v>2</v>
      </c>
      <c r="T82" s="2" t="str">
        <f t="shared" si="2"/>
        <v>Q1</v>
      </c>
      <c r="U82" s="2" t="str">
        <f>IF('RAW DATA'!I82&gt;20,"High",IF('RAW DATA'!I82&gt;10,"Medium","Low"))</f>
        <v>Low</v>
      </c>
      <c r="V82" s="2" t="str">
        <f>IF('RAW DATA'!B82="","Yes","No")</f>
        <v>No</v>
      </c>
      <c r="W82" s="2" t="str">
        <f>IF(COUNTIF(A$2:A381,A82)&gt;1,"Duplicate","OK")</f>
        <v>OK</v>
      </c>
      <c r="X82">
        <f t="shared" si="3"/>
        <v>3</v>
      </c>
    </row>
    <row r="83" spans="1:24" x14ac:dyDescent="0.25">
      <c r="A83" s="3" t="s">
        <v>227</v>
      </c>
      <c r="B83" s="3" t="s">
        <v>228</v>
      </c>
      <c r="C83" s="3" t="s">
        <v>85</v>
      </c>
      <c r="D83" s="2" t="str">
        <f>PROPER('RAW DATA'!D83)</f>
        <v>Irene Mutesi</v>
      </c>
      <c r="E83" s="3" t="s">
        <v>20</v>
      </c>
      <c r="F83" s="3" t="s">
        <v>21</v>
      </c>
      <c r="G83" s="3" t="s">
        <v>43</v>
      </c>
      <c r="H83" s="3" t="s">
        <v>65</v>
      </c>
      <c r="I83" s="5">
        <f>IFERROR(IF('RAW DATA'!I83="",AVERAGE('RAW DATA'!I$2:I$301),'RAW DATA'!I83),0)</f>
        <v>4.7</v>
      </c>
      <c r="J83" s="3">
        <v>6.6</v>
      </c>
      <c r="K83" s="3" t="s">
        <v>24</v>
      </c>
      <c r="L83" s="2">
        <f>IFERROR(IF('RAW DATA'!L83="",3,'RAW DATA'!L83),3)</f>
        <v>4</v>
      </c>
      <c r="M83" s="3" t="s">
        <v>90</v>
      </c>
      <c r="N83" s="3" t="s">
        <v>26</v>
      </c>
      <c r="O83" s="3">
        <v>0</v>
      </c>
      <c r="P83" s="3" t="s">
        <v>13</v>
      </c>
      <c r="Q83" s="10" t="s">
        <v>87</v>
      </c>
      <c r="R83" s="2" t="str">
        <f>IFERROR(TEXT('RAW DATA'!B83,"MMMM"),"UKNNOWN")</f>
        <v>April</v>
      </c>
      <c r="S83" s="5">
        <f>IFERROR(MONTH('RAW DATA'!B83),0)</f>
        <v>4</v>
      </c>
      <c r="T83" s="3" t="str">
        <f t="shared" si="2"/>
        <v>Q2</v>
      </c>
      <c r="U83" s="3" t="str">
        <f>IF('RAW DATA'!I83&gt;20,"High",IF('RAW DATA'!I83&gt;10,"Medium","Low"))</f>
        <v>Low</v>
      </c>
      <c r="V83" s="3" t="str">
        <f>IF('RAW DATA'!B83="","Yes","No")</f>
        <v>No</v>
      </c>
      <c r="W83" s="2" t="str">
        <f>IF(COUNTIF(A$2:A382,A83)&gt;1,"Duplicate","OK")</f>
        <v>OK</v>
      </c>
      <c r="X83">
        <f t="shared" si="3"/>
        <v>4</v>
      </c>
    </row>
    <row r="84" spans="1:24" x14ac:dyDescent="0.25">
      <c r="A84" s="2" t="s">
        <v>229</v>
      </c>
      <c r="B84" s="2" t="s">
        <v>130</v>
      </c>
      <c r="C84" s="2" t="s">
        <v>63</v>
      </c>
      <c r="D84" s="2" t="str">
        <f>PROPER('RAW DATA'!D84)</f>
        <v>Henry Bizimana</v>
      </c>
      <c r="E84" s="2" t="s">
        <v>33</v>
      </c>
      <c r="F84" s="2" t="s">
        <v>34</v>
      </c>
      <c r="G84" s="2" t="s">
        <v>41</v>
      </c>
      <c r="H84" s="2" t="s">
        <v>23</v>
      </c>
      <c r="I84" s="5">
        <f>IFERROR(IF('RAW DATA'!I84="",AVERAGE('RAW DATA'!I$2:I$301),'RAW DATA'!I84),0)</f>
        <v>13.8</v>
      </c>
      <c r="J84" s="2">
        <v>7.7</v>
      </c>
      <c r="K84" s="2" t="s">
        <v>24</v>
      </c>
      <c r="L84" s="2">
        <f>IFERROR(IF('RAW DATA'!L84="",3,'RAW DATA'!L84),3)</f>
        <v>4</v>
      </c>
      <c r="M84" s="2" t="s">
        <v>51</v>
      </c>
      <c r="N84" s="2" t="s">
        <v>26</v>
      </c>
      <c r="O84" s="2">
        <v>0</v>
      </c>
      <c r="P84" s="2" t="s">
        <v>66</v>
      </c>
      <c r="Q84" s="9" t="s">
        <v>67</v>
      </c>
      <c r="R84" s="3" t="str">
        <f>IFERROR(TEXT('RAW DATA'!B84,"MMMM"),"UKNNOWN")</f>
        <v>August</v>
      </c>
      <c r="S84" s="5">
        <f>IFERROR(MONTH('RAW DATA'!B84),0)</f>
        <v>8</v>
      </c>
      <c r="T84" s="2" t="str">
        <f t="shared" si="2"/>
        <v>Q3</v>
      </c>
      <c r="U84" s="2" t="str">
        <f>IF('RAW DATA'!I84&gt;20,"High",IF('RAW DATA'!I84&gt;10,"Medium","Low"))</f>
        <v>Medium</v>
      </c>
      <c r="V84" s="2" t="str">
        <f>IF('RAW DATA'!B84="","Yes","No")</f>
        <v>No</v>
      </c>
      <c r="W84" s="2" t="str">
        <f>IF(COUNTIF(A$2:A383,A84)&gt;1,"Duplicate","OK")</f>
        <v>OK</v>
      </c>
      <c r="X84">
        <f t="shared" si="3"/>
        <v>4</v>
      </c>
    </row>
    <row r="85" spans="1:24" x14ac:dyDescent="0.25">
      <c r="A85" s="3" t="s">
        <v>230</v>
      </c>
      <c r="B85" s="3" t="s">
        <v>170</v>
      </c>
      <c r="C85" s="3" t="s">
        <v>18</v>
      </c>
      <c r="D85" s="2" t="str">
        <f>PROPER('RAW DATA'!D85)</f>
        <v>Bob Nshimiyimana</v>
      </c>
      <c r="E85" s="3" t="s">
        <v>20</v>
      </c>
      <c r="F85" s="3" t="s">
        <v>21</v>
      </c>
      <c r="G85" s="3" t="s">
        <v>43</v>
      </c>
      <c r="H85" s="3" t="s">
        <v>35</v>
      </c>
      <c r="I85" s="5">
        <f>IFERROR(IF('RAW DATA'!I85="",AVERAGE('RAW DATA'!I$2:I$301),'RAW DATA'!I85),0)</f>
        <v>8.9</v>
      </c>
      <c r="J85" s="3">
        <v>7.8</v>
      </c>
      <c r="K85" s="3" t="s">
        <v>26</v>
      </c>
      <c r="L85" s="2">
        <f>IFERROR(IF('RAW DATA'!L85="",3,'RAW DATA'!L85),3)</f>
        <v>2</v>
      </c>
      <c r="M85" s="3" t="s">
        <v>59</v>
      </c>
      <c r="N85" s="3" t="s">
        <v>26</v>
      </c>
      <c r="O85" s="3">
        <v>0</v>
      </c>
      <c r="P85" s="3" t="s">
        <v>52</v>
      </c>
      <c r="Q85" s="10" t="s">
        <v>28</v>
      </c>
      <c r="R85" s="2" t="str">
        <f>IFERROR(TEXT('RAW DATA'!B85,"MMMM"),"UKNNOWN")</f>
        <v>July</v>
      </c>
      <c r="S85" s="5">
        <f>IFERROR(MONTH('RAW DATA'!B85),0)</f>
        <v>7</v>
      </c>
      <c r="T85" s="3" t="str">
        <f t="shared" si="2"/>
        <v>Q3</v>
      </c>
      <c r="U85" s="3" t="str">
        <f>IF('RAW DATA'!I85&gt;20,"High",IF('RAW DATA'!I85&gt;10,"Medium","Low"))</f>
        <v>Low</v>
      </c>
      <c r="V85" s="3" t="str">
        <f>IF('RAW DATA'!B85="","Yes","No")</f>
        <v>No</v>
      </c>
      <c r="W85" s="2" t="str">
        <f>IF(COUNTIF(A$2:A384,A85)&gt;1,"Duplicate","OK")</f>
        <v>OK</v>
      </c>
      <c r="X85">
        <f t="shared" si="3"/>
        <v>2</v>
      </c>
    </row>
    <row r="86" spans="1:24" x14ac:dyDescent="0.25">
      <c r="A86" s="2" t="s">
        <v>231</v>
      </c>
      <c r="B86" s="2" t="s">
        <v>232</v>
      </c>
      <c r="C86" s="2" t="s">
        <v>63</v>
      </c>
      <c r="D86" s="2" t="str">
        <f>PROPER('RAW DATA'!D86)</f>
        <v>Henry Bizimana</v>
      </c>
      <c r="E86" s="2" t="s">
        <v>33</v>
      </c>
      <c r="F86" s="2" t="s">
        <v>34</v>
      </c>
      <c r="G86" s="2" t="s">
        <v>43</v>
      </c>
      <c r="H86" s="2" t="s">
        <v>44</v>
      </c>
      <c r="I86" s="5">
        <f>IFERROR(IF('RAW DATA'!I86="",AVERAGE('RAW DATA'!I$2:I$301),'RAW DATA'!I86),0)</f>
        <v>8.1</v>
      </c>
      <c r="J86" s="2">
        <v>6.5</v>
      </c>
      <c r="K86" s="2" t="s">
        <v>24</v>
      </c>
      <c r="L86" s="2">
        <f>IFERROR(IF('RAW DATA'!L86="",3,'RAW DATA'!L86),3)</f>
        <v>4</v>
      </c>
      <c r="M86" s="2" t="s">
        <v>90</v>
      </c>
      <c r="N86" s="2" t="s">
        <v>26</v>
      </c>
      <c r="O86" s="2">
        <v>0</v>
      </c>
      <c r="P86" s="2" t="s">
        <v>45</v>
      </c>
      <c r="Q86" s="9" t="s">
        <v>67</v>
      </c>
      <c r="R86" s="3" t="str">
        <f>IFERROR(TEXT('RAW DATA'!B86,"MMMM"),"UKNNOWN")</f>
        <v>September</v>
      </c>
      <c r="S86" s="5">
        <f>IFERROR(MONTH('RAW DATA'!B86),0)</f>
        <v>9</v>
      </c>
      <c r="T86" s="2" t="str">
        <f t="shared" si="2"/>
        <v>Q3</v>
      </c>
      <c r="U86" s="2" t="str">
        <f>IF('RAW DATA'!I86&gt;20,"High",IF('RAW DATA'!I86&gt;10,"Medium","Low"))</f>
        <v>Low</v>
      </c>
      <c r="V86" s="2" t="str">
        <f>IF('RAW DATA'!B86="","Yes","No")</f>
        <v>No</v>
      </c>
      <c r="W86" s="2" t="str">
        <f>IF(COUNTIF(A$2:A385,A86)&gt;1,"Duplicate","OK")</f>
        <v>OK</v>
      </c>
      <c r="X86">
        <f t="shared" si="3"/>
        <v>4</v>
      </c>
    </row>
    <row r="87" spans="1:24" x14ac:dyDescent="0.25">
      <c r="A87" s="3" t="s">
        <v>233</v>
      </c>
      <c r="B87" s="3" t="s">
        <v>234</v>
      </c>
      <c r="C87" s="3" t="s">
        <v>78</v>
      </c>
      <c r="D87" s="2" t="str">
        <f>PROPER('RAW DATA'!D87)</f>
        <v>Eve Ingabire</v>
      </c>
      <c r="E87" s="3" t="s">
        <v>20</v>
      </c>
      <c r="F87" s="3" t="s">
        <v>21</v>
      </c>
      <c r="G87" s="3" t="s">
        <v>22</v>
      </c>
      <c r="H87" s="3" t="s">
        <v>95</v>
      </c>
      <c r="I87" s="5">
        <f>IFERROR(IF('RAW DATA'!I87="",AVERAGE('RAW DATA'!I$2:I$301),'RAW DATA'!I87),0)</f>
        <v>9</v>
      </c>
      <c r="J87" s="3">
        <v>2.5</v>
      </c>
      <c r="K87" s="3" t="s">
        <v>24</v>
      </c>
      <c r="L87" s="2">
        <f>IFERROR(IF('RAW DATA'!L87="",3,'RAW DATA'!L87),3)</f>
        <v>4</v>
      </c>
      <c r="M87" s="3" t="s">
        <v>90</v>
      </c>
      <c r="N87" s="3" t="s">
        <v>26</v>
      </c>
      <c r="O87" s="3">
        <v>1</v>
      </c>
      <c r="P87" s="3" t="s">
        <v>13</v>
      </c>
      <c r="Q87" s="10" t="s">
        <v>82</v>
      </c>
      <c r="R87" s="2" t="str">
        <f>IFERROR(TEXT('RAW DATA'!B87,"MMMM"),"UKNNOWN")</f>
        <v>September</v>
      </c>
      <c r="S87" s="5">
        <f>IFERROR(MONTH('RAW DATA'!B87),0)</f>
        <v>9</v>
      </c>
      <c r="T87" s="3" t="str">
        <f t="shared" si="2"/>
        <v>Q3</v>
      </c>
      <c r="U87" s="3" t="str">
        <f>IF('RAW DATA'!I87&gt;20,"High",IF('RAW DATA'!I87&gt;10,"Medium","Low"))</f>
        <v>Low</v>
      </c>
      <c r="V87" s="3" t="str">
        <f>IF('RAW DATA'!B87="","Yes","No")</f>
        <v>No</v>
      </c>
      <c r="W87" s="2" t="str">
        <f>IF(COUNTIF(A$2:A386,A87)&gt;1,"Duplicate","OK")</f>
        <v>OK</v>
      </c>
      <c r="X87">
        <f t="shared" si="3"/>
        <v>4</v>
      </c>
    </row>
    <row r="88" spans="1:24" x14ac:dyDescent="0.25">
      <c r="A88" s="2" t="s">
        <v>235</v>
      </c>
      <c r="B88" s="2" t="s">
        <v>236</v>
      </c>
      <c r="C88" s="2" t="s">
        <v>85</v>
      </c>
      <c r="D88" s="2" t="str">
        <f>PROPER('RAW DATA'!D88)</f>
        <v>Irene Mutesi</v>
      </c>
      <c r="E88" s="2" t="s">
        <v>20</v>
      </c>
      <c r="F88" s="2" t="s">
        <v>21</v>
      </c>
      <c r="G88" s="2" t="s">
        <v>41</v>
      </c>
      <c r="H88" s="2" t="s">
        <v>44</v>
      </c>
      <c r="I88" s="5">
        <f>IFERROR(IF('RAW DATA'!I88="",AVERAGE('RAW DATA'!I$2:I$301),'RAW DATA'!I88),0)</f>
        <v>8.1999999999999993</v>
      </c>
      <c r="J88" s="2">
        <v>2.1</v>
      </c>
      <c r="K88" s="2" t="s">
        <v>24</v>
      </c>
      <c r="L88" s="2">
        <f>IFERROR(IF('RAW DATA'!L88="",3,'RAW DATA'!L88),3)</f>
        <v>5</v>
      </c>
      <c r="M88" s="2" t="s">
        <v>81</v>
      </c>
      <c r="N88" s="2" t="s">
        <v>26</v>
      </c>
      <c r="O88" s="2">
        <v>0</v>
      </c>
      <c r="P88" s="2" t="s">
        <v>13</v>
      </c>
      <c r="Q88" s="9" t="s">
        <v>87</v>
      </c>
      <c r="R88" s="3" t="str">
        <f>IFERROR(TEXT('RAW DATA'!B88,"MMMM"),"UKNNOWN")</f>
        <v>June</v>
      </c>
      <c r="S88" s="5">
        <f>IFERROR(MONTH('RAW DATA'!B88),0)</f>
        <v>6</v>
      </c>
      <c r="T88" s="2" t="str">
        <f t="shared" si="2"/>
        <v>Q2</v>
      </c>
      <c r="U88" s="2" t="str">
        <f>IF('RAW DATA'!I88&gt;20,"High",IF('RAW DATA'!I88&gt;10,"Medium","Low"))</f>
        <v>Low</v>
      </c>
      <c r="V88" s="2" t="str">
        <f>IF('RAW DATA'!B88="","Yes","No")</f>
        <v>No</v>
      </c>
      <c r="W88" s="2" t="str">
        <f>IF(COUNTIF(A$2:A387,A88)&gt;1,"Duplicate","OK")</f>
        <v>OK</v>
      </c>
      <c r="X88">
        <f t="shared" si="3"/>
        <v>5</v>
      </c>
    </row>
    <row r="89" spans="1:24" x14ac:dyDescent="0.25">
      <c r="A89" s="3" t="s">
        <v>237</v>
      </c>
      <c r="B89" s="3" t="s">
        <v>238</v>
      </c>
      <c r="C89" s="3" t="s">
        <v>105</v>
      </c>
      <c r="D89" s="2" t="str">
        <f>PROPER('RAW DATA'!D89)</f>
        <v>Alice Uwimana</v>
      </c>
      <c r="E89" s="3" t="s">
        <v>20</v>
      </c>
      <c r="F89" s="3" t="s">
        <v>21</v>
      </c>
      <c r="G89" s="3" t="s">
        <v>43</v>
      </c>
      <c r="H89" s="3" t="s">
        <v>95</v>
      </c>
      <c r="I89" s="5">
        <f>IFERROR(IF('RAW DATA'!I89="",AVERAGE('RAW DATA'!I$2:I$301),'RAW DATA'!I89),0)</f>
        <v>6.6</v>
      </c>
      <c r="J89" s="3">
        <v>6.1</v>
      </c>
      <c r="K89" s="3" t="s">
        <v>24</v>
      </c>
      <c r="L89" s="2">
        <f>IFERROR(IF('RAW DATA'!L89="",3,'RAW DATA'!L89),3)</f>
        <v>5</v>
      </c>
      <c r="M89" s="3" t="s">
        <v>25</v>
      </c>
      <c r="N89" s="3" t="s">
        <v>26</v>
      </c>
      <c r="O89" s="3">
        <v>1</v>
      </c>
      <c r="P89" s="3" t="s">
        <v>52</v>
      </c>
      <c r="Q89" s="10" t="s">
        <v>107</v>
      </c>
      <c r="R89" s="3" t="str">
        <f>IFERROR(TEXT('RAW DATA'!B89,"MMMM"),"UKNNOWN")</f>
        <v>July</v>
      </c>
      <c r="S89" s="5">
        <f>IFERROR(MONTH('RAW DATA'!B89),0)</f>
        <v>7</v>
      </c>
      <c r="T89" s="3" t="str">
        <f t="shared" si="2"/>
        <v>Q3</v>
      </c>
      <c r="U89" s="3" t="str">
        <f>IF('RAW DATA'!I89&gt;20,"High",IF('RAW DATA'!I89&gt;10,"Medium","Low"))</f>
        <v>Low</v>
      </c>
      <c r="V89" s="3" t="str">
        <f>IF('RAW DATA'!B89="","Yes","No")</f>
        <v>No</v>
      </c>
      <c r="W89" s="2" t="str">
        <f>IF(COUNTIF(A$2:A388,A89)&gt;1,"Duplicate","OK")</f>
        <v>OK</v>
      </c>
      <c r="X89">
        <f t="shared" si="3"/>
        <v>5</v>
      </c>
    </row>
    <row r="90" spans="1:24" x14ac:dyDescent="0.25">
      <c r="A90" s="2" t="s">
        <v>239</v>
      </c>
      <c r="B90" s="2" t="s">
        <v>240</v>
      </c>
      <c r="C90" s="2" t="s">
        <v>85</v>
      </c>
      <c r="D90" s="2" t="str">
        <f>PROPER('RAW DATA'!D90)</f>
        <v>Irene Mutesi</v>
      </c>
      <c r="E90" s="2" t="s">
        <v>20</v>
      </c>
      <c r="F90" s="2" t="s">
        <v>21</v>
      </c>
      <c r="G90" s="2" t="s">
        <v>22</v>
      </c>
      <c r="H90" s="2" t="s">
        <v>23</v>
      </c>
      <c r="I90" s="5">
        <f>IFERROR(IF('RAW DATA'!I90="",AVERAGE('RAW DATA'!I$2:I$301),'RAW DATA'!I90),0)</f>
        <v>10.6</v>
      </c>
      <c r="J90" s="2">
        <v>3.6</v>
      </c>
      <c r="K90" s="2" t="s">
        <v>26</v>
      </c>
      <c r="L90" s="2">
        <f>IFERROR(IF('RAW DATA'!L90="",3,'RAW DATA'!L90),3)</f>
        <v>2</v>
      </c>
      <c r="M90" s="2" t="s">
        <v>81</v>
      </c>
      <c r="N90" s="2" t="s">
        <v>26</v>
      </c>
      <c r="O90" s="2">
        <v>0</v>
      </c>
      <c r="P90" s="2" t="s">
        <v>27</v>
      </c>
      <c r="Q90" s="9" t="s">
        <v>87</v>
      </c>
      <c r="R90" s="2" t="str">
        <f>IFERROR(TEXT('RAW DATA'!B90,"MMMM"),"UKNNOWN")</f>
        <v>March</v>
      </c>
      <c r="S90" s="5">
        <f>IFERROR(MONTH('RAW DATA'!B90),0)</f>
        <v>3</v>
      </c>
      <c r="T90" s="2" t="str">
        <f t="shared" si="2"/>
        <v>Q1</v>
      </c>
      <c r="U90" s="2" t="str">
        <f>IF('RAW DATA'!I90&gt;20,"High",IF('RAW DATA'!I90&gt;10,"Medium","Low"))</f>
        <v>Medium</v>
      </c>
      <c r="V90" s="2" t="str">
        <f>IF('RAW DATA'!B90="","Yes","No")</f>
        <v>No</v>
      </c>
      <c r="W90" s="2" t="str">
        <f>IF(COUNTIF(A$2:A389,A90)&gt;1,"Duplicate","OK")</f>
        <v>OK</v>
      </c>
      <c r="X90">
        <f t="shared" si="3"/>
        <v>2</v>
      </c>
    </row>
    <row r="91" spans="1:24" x14ac:dyDescent="0.25">
      <c r="A91" s="3" t="s">
        <v>241</v>
      </c>
      <c r="B91" s="3" t="s">
        <v>242</v>
      </c>
      <c r="C91" s="3" t="s">
        <v>70</v>
      </c>
      <c r="D91" s="2" t="str">
        <f>PROPER('RAW DATA'!D91)</f>
        <v>Claire Mukamana</v>
      </c>
      <c r="E91" s="3" t="s">
        <v>33</v>
      </c>
      <c r="F91" s="3" t="s">
        <v>34</v>
      </c>
      <c r="G91" s="3" t="s">
        <v>22</v>
      </c>
      <c r="H91" s="3" t="s">
        <v>80</v>
      </c>
      <c r="I91" s="5">
        <f>IFERROR(IF('RAW DATA'!I91="",AVERAGE('RAW DATA'!I$2:I$301),'RAW DATA'!I91),0)</f>
        <v>12.7</v>
      </c>
      <c r="J91" s="3">
        <v>5.6</v>
      </c>
      <c r="K91" s="3" t="s">
        <v>26</v>
      </c>
      <c r="L91" s="2">
        <f>IFERROR(IF('RAW DATA'!L91="",3,'RAW DATA'!L91),3)</f>
        <v>3</v>
      </c>
      <c r="M91" s="3" t="s">
        <v>59</v>
      </c>
      <c r="N91" s="3" t="s">
        <v>26</v>
      </c>
      <c r="O91" s="3">
        <v>1</v>
      </c>
      <c r="P91" s="3" t="s">
        <v>27</v>
      </c>
      <c r="Q91" s="10" t="s">
        <v>73</v>
      </c>
      <c r="R91" s="3" t="str">
        <f>IFERROR(TEXT('RAW DATA'!B91,"MMMM"),"UKNNOWN")</f>
        <v>July</v>
      </c>
      <c r="S91" s="5">
        <f>IFERROR(MONTH('RAW DATA'!B91),0)</f>
        <v>7</v>
      </c>
      <c r="T91" s="3" t="str">
        <f t="shared" si="2"/>
        <v>Q3</v>
      </c>
      <c r="U91" s="3" t="str">
        <f>IF('RAW DATA'!I91&gt;20,"High",IF('RAW DATA'!I91&gt;10,"Medium","Low"))</f>
        <v>Medium</v>
      </c>
      <c r="V91" s="3" t="str">
        <f>IF('RAW DATA'!B91="","Yes","No")</f>
        <v>No</v>
      </c>
      <c r="W91" s="2" t="str">
        <f>IF(COUNTIF(A$2:A390,A91)&gt;1,"Duplicate","OK")</f>
        <v>OK</v>
      </c>
      <c r="X91">
        <f t="shared" si="3"/>
        <v>3</v>
      </c>
    </row>
    <row r="92" spans="1:24" x14ac:dyDescent="0.25">
      <c r="A92" s="2" t="s">
        <v>243</v>
      </c>
      <c r="B92" s="2" t="s">
        <v>244</v>
      </c>
      <c r="C92" s="2" t="s">
        <v>105</v>
      </c>
      <c r="D92" s="2" t="str">
        <f>PROPER('RAW DATA'!D92)</f>
        <v>Alice Uwimana</v>
      </c>
      <c r="E92" s="2" t="s">
        <v>20</v>
      </c>
      <c r="F92" s="2" t="s">
        <v>21</v>
      </c>
      <c r="G92" s="2" t="s">
        <v>43</v>
      </c>
      <c r="H92" s="2" t="s">
        <v>44</v>
      </c>
      <c r="I92" s="5">
        <f>IFERROR(IF('RAW DATA'!I92="",AVERAGE('RAW DATA'!I$2:I$301),'RAW DATA'!I92),0)</f>
        <v>6.4</v>
      </c>
      <c r="J92" s="2">
        <v>3</v>
      </c>
      <c r="K92" s="2" t="s">
        <v>24</v>
      </c>
      <c r="L92" s="2">
        <f>IFERROR(IF('RAW DATA'!L92="",3,'RAW DATA'!L92),3)</f>
        <v>5</v>
      </c>
      <c r="M92" s="2" t="s">
        <v>25</v>
      </c>
      <c r="N92" s="2" t="s">
        <v>26</v>
      </c>
      <c r="O92" s="2">
        <v>1</v>
      </c>
      <c r="P92" s="2" t="s">
        <v>13</v>
      </c>
      <c r="Q92" s="9" t="s">
        <v>107</v>
      </c>
      <c r="R92" s="2" t="str">
        <f>IFERROR(TEXT('RAW DATA'!B92,"MMMM"),"UKNNOWN")</f>
        <v>October</v>
      </c>
      <c r="S92" s="5">
        <f>IFERROR(MONTH('RAW DATA'!B92),0)</f>
        <v>10</v>
      </c>
      <c r="T92" s="2" t="str">
        <f t="shared" si="2"/>
        <v>Q4</v>
      </c>
      <c r="U92" s="2" t="str">
        <f>IF('RAW DATA'!I92&gt;20,"High",IF('RAW DATA'!I92&gt;10,"Medium","Low"))</f>
        <v>Low</v>
      </c>
      <c r="V92" s="2" t="str">
        <f>IF('RAW DATA'!B92="","Yes","No")</f>
        <v>No</v>
      </c>
      <c r="W92" s="2" t="str">
        <f>IF(COUNTIF(A$2:A391,A92)&gt;1,"Duplicate","OK")</f>
        <v>OK</v>
      </c>
      <c r="X92">
        <f t="shared" si="3"/>
        <v>5</v>
      </c>
    </row>
    <row r="93" spans="1:24" x14ac:dyDescent="0.25">
      <c r="A93" s="3" t="s">
        <v>245</v>
      </c>
      <c r="B93" s="3" t="s">
        <v>246</v>
      </c>
      <c r="C93" s="3" t="s">
        <v>18</v>
      </c>
      <c r="D93" s="2" t="str">
        <f>PROPER('RAW DATA'!D93)</f>
        <v>Bob Nshimiyimana</v>
      </c>
      <c r="E93" s="3" t="s">
        <v>20</v>
      </c>
      <c r="F93" s="3" t="s">
        <v>21</v>
      </c>
      <c r="G93" s="3" t="s">
        <v>43</v>
      </c>
      <c r="H93" s="3" t="s">
        <v>35</v>
      </c>
      <c r="I93" s="5">
        <f>IFERROR(IF('RAW DATA'!I93="",AVERAGE('RAW DATA'!I$2:I$301),'RAW DATA'!I93),0)</f>
        <v>3.7</v>
      </c>
      <c r="J93" s="3">
        <v>5.0999999999999996</v>
      </c>
      <c r="K93" s="3" t="s">
        <v>24</v>
      </c>
      <c r="L93" s="2">
        <f>IFERROR(IF('RAW DATA'!L93="",3,'RAW DATA'!L93),3)</f>
        <v>5</v>
      </c>
      <c r="M93" s="3" t="s">
        <v>90</v>
      </c>
      <c r="N93" s="3" t="s">
        <v>26</v>
      </c>
      <c r="O93" s="3">
        <v>0</v>
      </c>
      <c r="P93" s="3" t="s">
        <v>66</v>
      </c>
      <c r="Q93" s="10" t="s">
        <v>28</v>
      </c>
      <c r="R93" s="3" t="str">
        <f>IFERROR(TEXT('RAW DATA'!B93,"MMMM"),"UKNNOWN")</f>
        <v>November</v>
      </c>
      <c r="S93" s="5">
        <f>IFERROR(MONTH('RAW DATA'!B93),0)</f>
        <v>11</v>
      </c>
      <c r="T93" s="3" t="str">
        <f t="shared" si="2"/>
        <v>Q4</v>
      </c>
      <c r="U93" s="3" t="str">
        <f>IF('RAW DATA'!I93&gt;20,"High",IF('RAW DATA'!I93&gt;10,"Medium","Low"))</f>
        <v>Low</v>
      </c>
      <c r="V93" s="3" t="str">
        <f>IF('RAW DATA'!B93="","Yes","No")</f>
        <v>No</v>
      </c>
      <c r="W93" s="2" t="str">
        <f>IF(COUNTIF(A$2:A392,A93)&gt;1,"Duplicate","OK")</f>
        <v>OK</v>
      </c>
      <c r="X93">
        <f t="shared" si="3"/>
        <v>5</v>
      </c>
    </row>
    <row r="94" spans="1:24" x14ac:dyDescent="0.25">
      <c r="A94" s="2" t="s">
        <v>247</v>
      </c>
      <c r="B94" s="2" t="s">
        <v>248</v>
      </c>
      <c r="C94" s="2" t="s">
        <v>39</v>
      </c>
      <c r="D94" s="2" t="str">
        <f>PROPER('RAW DATA'!D94)</f>
        <v>Grace Uwase</v>
      </c>
      <c r="E94" s="2" t="s">
        <v>41</v>
      </c>
      <c r="F94" s="2" t="s">
        <v>42</v>
      </c>
      <c r="G94" s="2" t="s">
        <v>43</v>
      </c>
      <c r="H94" s="2" t="s">
        <v>58</v>
      </c>
      <c r="I94" s="5">
        <f>IFERROR(IF('RAW DATA'!I94="",AVERAGE('RAW DATA'!I$2:I$301),'RAW DATA'!I94),0)</f>
        <v>10.3</v>
      </c>
      <c r="J94" s="2">
        <v>6</v>
      </c>
      <c r="K94" s="2" t="s">
        <v>24</v>
      </c>
      <c r="L94" s="2">
        <f>IFERROR(IF('RAW DATA'!L94="",3,'RAW DATA'!L94),3)</f>
        <v>4</v>
      </c>
      <c r="M94" s="2" t="s">
        <v>51</v>
      </c>
      <c r="N94" s="2" t="s">
        <v>26</v>
      </c>
      <c r="O94" s="2">
        <v>0</v>
      </c>
      <c r="P94" s="2" t="s">
        <v>13</v>
      </c>
      <c r="Q94" s="9" t="s">
        <v>46</v>
      </c>
      <c r="R94" s="2" t="str">
        <f>IFERROR(TEXT('RAW DATA'!B94,"MMMM"),"UKNNOWN")</f>
        <v>July</v>
      </c>
      <c r="S94" s="5">
        <f>IFERROR(MONTH('RAW DATA'!B94),0)</f>
        <v>7</v>
      </c>
      <c r="T94" s="2" t="str">
        <f t="shared" si="2"/>
        <v>Q3</v>
      </c>
      <c r="U94" s="2" t="str">
        <f>IF('RAW DATA'!I94&gt;20,"High",IF('RAW DATA'!I94&gt;10,"Medium","Low"))</f>
        <v>Medium</v>
      </c>
      <c r="V94" s="2" t="str">
        <f>IF('RAW DATA'!B94="","Yes","No")</f>
        <v>No</v>
      </c>
      <c r="W94" s="2" t="str">
        <f>IF(COUNTIF(A$2:A393,A94)&gt;1,"Duplicate","OK")</f>
        <v>OK</v>
      </c>
      <c r="X94">
        <f t="shared" si="3"/>
        <v>4</v>
      </c>
    </row>
    <row r="95" spans="1:24" x14ac:dyDescent="0.25">
      <c r="A95" s="3" t="s">
        <v>249</v>
      </c>
      <c r="B95" s="3" t="s">
        <v>89</v>
      </c>
      <c r="C95" s="3" t="s">
        <v>56</v>
      </c>
      <c r="D95" s="2" t="str">
        <f>PROPER('RAW DATA'!D95)</f>
        <v>John Gasana</v>
      </c>
      <c r="E95" s="3" t="s">
        <v>41</v>
      </c>
      <c r="F95" s="3" t="s">
        <v>42</v>
      </c>
      <c r="G95" s="3" t="s">
        <v>43</v>
      </c>
      <c r="H95" s="3" t="s">
        <v>95</v>
      </c>
      <c r="I95" s="5">
        <f>IFERROR(IF('RAW DATA'!I95="",AVERAGE('RAW DATA'!I$2:I$301),'RAW DATA'!I95),0)</f>
        <v>6.6</v>
      </c>
      <c r="J95" s="3">
        <v>1.9</v>
      </c>
      <c r="K95" s="3" t="s">
        <v>24</v>
      </c>
      <c r="L95" s="2">
        <f>IFERROR(IF('RAW DATA'!L95="",3,'RAW DATA'!L95),3)</f>
        <v>4</v>
      </c>
      <c r="M95" s="3" t="s">
        <v>90</v>
      </c>
      <c r="N95" s="3" t="s">
        <v>26</v>
      </c>
      <c r="O95" s="3">
        <v>0</v>
      </c>
      <c r="P95" s="3" t="s">
        <v>52</v>
      </c>
      <c r="Q95" s="10" t="s">
        <v>60</v>
      </c>
      <c r="R95" s="3" t="str">
        <f>IFERROR(TEXT('RAW DATA'!B95,"MMMM"),"UKNNOWN")</f>
        <v>July</v>
      </c>
      <c r="S95" s="5">
        <f>IFERROR(MONTH('RAW DATA'!B95),0)</f>
        <v>7</v>
      </c>
      <c r="T95" s="3" t="str">
        <f t="shared" si="2"/>
        <v>Q3</v>
      </c>
      <c r="U95" s="3" t="str">
        <f>IF('RAW DATA'!I95&gt;20,"High",IF('RAW DATA'!I95&gt;10,"Medium","Low"))</f>
        <v>Low</v>
      </c>
      <c r="V95" s="3" t="str">
        <f>IF('RAW DATA'!B95="","Yes","No")</f>
        <v>No</v>
      </c>
      <c r="W95" s="2" t="str">
        <f>IF(COUNTIF(A$2:A394,A95)&gt;1,"Duplicate","OK")</f>
        <v>OK</v>
      </c>
      <c r="X95">
        <f t="shared" si="3"/>
        <v>4</v>
      </c>
    </row>
    <row r="96" spans="1:24" x14ac:dyDescent="0.25">
      <c r="A96" s="2" t="s">
        <v>250</v>
      </c>
      <c r="B96" s="2" t="s">
        <v>164</v>
      </c>
      <c r="C96" s="2" t="s">
        <v>105</v>
      </c>
      <c r="D96" s="2" t="str">
        <f>PROPER('RAW DATA'!D96)</f>
        <v>Alice Uwimana</v>
      </c>
      <c r="E96" s="2" t="s">
        <v>20</v>
      </c>
      <c r="F96" s="2" t="s">
        <v>21</v>
      </c>
      <c r="G96" s="2" t="s">
        <v>22</v>
      </c>
      <c r="H96" s="2" t="s">
        <v>80</v>
      </c>
      <c r="I96" s="5">
        <f>IFERROR(IF('RAW DATA'!I96="",AVERAGE('RAW DATA'!I$2:I$301),'RAW DATA'!I96),0)</f>
        <v>10.7</v>
      </c>
      <c r="J96" s="2">
        <v>2.7</v>
      </c>
      <c r="K96" s="2" t="s">
        <v>24</v>
      </c>
      <c r="L96" s="2">
        <f>IFERROR(IF('RAW DATA'!L96="",3,'RAW DATA'!L96),3)</f>
        <v>4</v>
      </c>
      <c r="M96" s="2" t="s">
        <v>51</v>
      </c>
      <c r="N96" s="2" t="s">
        <v>26</v>
      </c>
      <c r="O96" s="2">
        <v>0</v>
      </c>
      <c r="P96" s="2" t="s">
        <v>45</v>
      </c>
      <c r="Q96" s="9" t="s">
        <v>107</v>
      </c>
      <c r="R96" s="2" t="str">
        <f>IFERROR(TEXT('RAW DATA'!B96,"MMMM"),"UKNNOWN")</f>
        <v>December</v>
      </c>
      <c r="S96" s="5">
        <f>IFERROR(MONTH('RAW DATA'!B96),0)</f>
        <v>12</v>
      </c>
      <c r="T96" s="2" t="str">
        <f t="shared" si="2"/>
        <v>Q4</v>
      </c>
      <c r="U96" s="2" t="str">
        <f>IF('RAW DATA'!I96&gt;20,"High",IF('RAW DATA'!I96&gt;10,"Medium","Low"))</f>
        <v>Medium</v>
      </c>
      <c r="V96" s="2" t="str">
        <f>IF('RAW DATA'!B96="","Yes","No")</f>
        <v>No</v>
      </c>
      <c r="W96" s="2" t="str">
        <f>IF(COUNTIF(A$2:A395,A96)&gt;1,"Duplicate","OK")</f>
        <v>OK</v>
      </c>
      <c r="X96">
        <f t="shared" si="3"/>
        <v>4</v>
      </c>
    </row>
    <row r="97" spans="1:24" x14ac:dyDescent="0.25">
      <c r="A97" s="3" t="s">
        <v>251</v>
      </c>
      <c r="B97" s="3" t="s">
        <v>252</v>
      </c>
      <c r="C97" s="3" t="s">
        <v>39</v>
      </c>
      <c r="D97" s="2" t="str">
        <f>PROPER('RAW DATA'!D97)</f>
        <v>Grace Uwase</v>
      </c>
      <c r="E97" s="3" t="s">
        <v>41</v>
      </c>
      <c r="F97" s="3" t="s">
        <v>42</v>
      </c>
      <c r="G97" s="3" t="s">
        <v>43</v>
      </c>
      <c r="H97" s="3" t="s">
        <v>72</v>
      </c>
      <c r="I97" s="5">
        <f>IFERROR(IF('RAW DATA'!I97="",AVERAGE('RAW DATA'!I$2:I$301),'RAW DATA'!I97),0)</f>
        <v>6.8</v>
      </c>
      <c r="J97" s="3">
        <v>1.9</v>
      </c>
      <c r="K97" s="3" t="s">
        <v>24</v>
      </c>
      <c r="L97" s="2">
        <f>IFERROR(IF('RAW DATA'!L97="",3,'RAW DATA'!L97),3)</f>
        <v>4</v>
      </c>
      <c r="M97" s="3" t="s">
        <v>59</v>
      </c>
      <c r="N97" s="3" t="s">
        <v>26</v>
      </c>
      <c r="O97" s="3">
        <v>1</v>
      </c>
      <c r="P97" s="3" t="s">
        <v>52</v>
      </c>
      <c r="Q97" s="10" t="s">
        <v>46</v>
      </c>
      <c r="R97" s="3" t="str">
        <f>IFERROR(TEXT('RAW DATA'!B97,"MMMM"),"UKNNOWN")</f>
        <v>June</v>
      </c>
      <c r="S97" s="5">
        <f>IFERROR(MONTH('RAW DATA'!B97),0)</f>
        <v>6</v>
      </c>
      <c r="T97" s="3" t="str">
        <f t="shared" si="2"/>
        <v>Q2</v>
      </c>
      <c r="U97" s="3" t="str">
        <f>IF('RAW DATA'!I97&gt;20,"High",IF('RAW DATA'!I97&gt;10,"Medium","Low"))</f>
        <v>Low</v>
      </c>
      <c r="V97" s="3" t="str">
        <f>IF('RAW DATA'!B97="","Yes","No")</f>
        <v>No</v>
      </c>
      <c r="W97" s="2" t="str">
        <f>IF(COUNTIF(A$2:A396,A97)&gt;1,"Duplicate","OK")</f>
        <v>OK</v>
      </c>
      <c r="X97">
        <f t="shared" si="3"/>
        <v>4</v>
      </c>
    </row>
    <row r="98" spans="1:24" x14ac:dyDescent="0.25">
      <c r="A98" s="2" t="s">
        <v>253</v>
      </c>
      <c r="B98" s="2" t="s">
        <v>254</v>
      </c>
      <c r="C98" s="2" t="s">
        <v>49</v>
      </c>
      <c r="D98" s="2" t="str">
        <f>PROPER('RAW DATA'!D98)</f>
        <v>Frank Nzeyimana</v>
      </c>
      <c r="E98" s="2" t="s">
        <v>41</v>
      </c>
      <c r="F98" s="2" t="s">
        <v>42</v>
      </c>
      <c r="G98" s="2" t="s">
        <v>43</v>
      </c>
      <c r="H98" s="2" t="s">
        <v>23</v>
      </c>
      <c r="I98" s="5">
        <f>IFERROR(IF('RAW DATA'!I98="",AVERAGE('RAW DATA'!I$2:I$301),'RAW DATA'!I98),0)</f>
        <v>1</v>
      </c>
      <c r="J98" s="2">
        <v>1.2</v>
      </c>
      <c r="K98" s="2" t="s">
        <v>24</v>
      </c>
      <c r="L98" s="2">
        <f>IFERROR(IF('RAW DATA'!L98="",3,'RAW DATA'!L98),3)</f>
        <v>4</v>
      </c>
      <c r="M98" s="2" t="s">
        <v>51</v>
      </c>
      <c r="N98" s="2" t="s">
        <v>26</v>
      </c>
      <c r="O98" s="2">
        <v>1</v>
      </c>
      <c r="P98" s="2" t="s">
        <v>66</v>
      </c>
      <c r="Q98" s="9" t="s">
        <v>53</v>
      </c>
      <c r="R98" s="2" t="str">
        <f>IFERROR(TEXT('RAW DATA'!B98,"MMMM"),"UKNNOWN")</f>
        <v>October</v>
      </c>
      <c r="S98" s="5">
        <f>IFERROR(MONTH('RAW DATA'!B98),0)</f>
        <v>10</v>
      </c>
      <c r="T98" s="2" t="str">
        <f t="shared" si="2"/>
        <v>Q4</v>
      </c>
      <c r="U98" s="2" t="str">
        <f>IF('RAW DATA'!I98&gt;20,"High",IF('RAW DATA'!I98&gt;10,"Medium","Low"))</f>
        <v>Low</v>
      </c>
      <c r="V98" s="2" t="str">
        <f>IF('RAW DATA'!B98="","Yes","No")</f>
        <v>No</v>
      </c>
      <c r="W98" s="2" t="str">
        <f>IF(COUNTIF(A$2:A397,A98)&gt;1,"Duplicate","OK")</f>
        <v>OK</v>
      </c>
      <c r="X98">
        <f t="shared" si="3"/>
        <v>4</v>
      </c>
    </row>
    <row r="99" spans="1:24" x14ac:dyDescent="0.25">
      <c r="A99" s="3" t="s">
        <v>255</v>
      </c>
      <c r="B99" s="3" t="s">
        <v>256</v>
      </c>
      <c r="C99" s="3" t="s">
        <v>78</v>
      </c>
      <c r="D99" s="2" t="str">
        <f>PROPER('RAW DATA'!D99)</f>
        <v>Eve Ingabire</v>
      </c>
      <c r="E99" s="3" t="s">
        <v>20</v>
      </c>
      <c r="F99" s="3" t="s">
        <v>21</v>
      </c>
      <c r="G99" s="3" t="s">
        <v>41</v>
      </c>
      <c r="H99" s="3" t="s">
        <v>35</v>
      </c>
      <c r="I99" s="5">
        <f>IFERROR(IF('RAW DATA'!I99="",AVERAGE('RAW DATA'!I$2:I$301),'RAW DATA'!I99),0)</f>
        <v>8.3000000000000007</v>
      </c>
      <c r="J99" s="3">
        <v>2.6</v>
      </c>
      <c r="K99" s="3" t="s">
        <v>24</v>
      </c>
      <c r="L99" s="2">
        <f>IFERROR(IF('RAW DATA'!L99="",3,'RAW DATA'!L99),3)</f>
        <v>5</v>
      </c>
      <c r="M99" s="3" t="s">
        <v>81</v>
      </c>
      <c r="N99" s="3" t="s">
        <v>26</v>
      </c>
      <c r="O99" s="3">
        <v>0</v>
      </c>
      <c r="P99" s="3" t="s">
        <v>13</v>
      </c>
      <c r="Q99" s="10" t="s">
        <v>82</v>
      </c>
      <c r="R99" s="3" t="str">
        <f>IFERROR(TEXT('RAW DATA'!B99,"MMMM"),"UKNNOWN")</f>
        <v>September</v>
      </c>
      <c r="S99" s="5">
        <f>IFERROR(MONTH('RAW DATA'!B99),0)</f>
        <v>9</v>
      </c>
      <c r="T99" s="3" t="str">
        <f t="shared" si="2"/>
        <v>Q3</v>
      </c>
      <c r="U99" s="3" t="str">
        <f>IF('RAW DATA'!I99&gt;20,"High",IF('RAW DATA'!I99&gt;10,"Medium","Low"))</f>
        <v>Low</v>
      </c>
      <c r="V99" s="3" t="str">
        <f>IF('RAW DATA'!B99="","Yes","No")</f>
        <v>No</v>
      </c>
      <c r="W99" s="2" t="str">
        <f>IF(COUNTIF(A$2:A398,A99)&gt;1,"Duplicate","OK")</f>
        <v>OK</v>
      </c>
      <c r="X99">
        <f t="shared" si="3"/>
        <v>5</v>
      </c>
    </row>
    <row r="100" spans="1:24" x14ac:dyDescent="0.25">
      <c r="A100" s="2" t="s">
        <v>257</v>
      </c>
      <c r="B100" s="2" t="s">
        <v>258</v>
      </c>
      <c r="C100" s="2" t="s">
        <v>18</v>
      </c>
      <c r="D100" s="2" t="str">
        <f>PROPER('RAW DATA'!D100)</f>
        <v>Bob Nshimiyimana</v>
      </c>
      <c r="E100" s="2" t="s">
        <v>20</v>
      </c>
      <c r="F100" s="2" t="s">
        <v>21</v>
      </c>
      <c r="G100" s="2" t="s">
        <v>41</v>
      </c>
      <c r="H100" s="2" t="s">
        <v>80</v>
      </c>
      <c r="I100" s="5">
        <f>IFERROR(IF('RAW DATA'!I100="",AVERAGE('RAW DATA'!I$2:I$301),'RAW DATA'!I100),0)</f>
        <v>11.6</v>
      </c>
      <c r="J100" s="2">
        <v>2.4</v>
      </c>
      <c r="K100" s="2" t="s">
        <v>24</v>
      </c>
      <c r="L100" s="2">
        <f>IFERROR(IF('RAW DATA'!L100="",3,'RAW DATA'!L100),3)</f>
        <v>4</v>
      </c>
      <c r="M100" s="2" t="s">
        <v>81</v>
      </c>
      <c r="N100" s="2" t="s">
        <v>26</v>
      </c>
      <c r="O100" s="2">
        <v>1</v>
      </c>
      <c r="P100" s="2" t="s">
        <v>45</v>
      </c>
      <c r="Q100" s="9" t="s">
        <v>28</v>
      </c>
      <c r="R100" s="2" t="str">
        <f>IFERROR(TEXT('RAW DATA'!B100,"MMMM"),"UKNNOWN")</f>
        <v>November</v>
      </c>
      <c r="S100" s="5">
        <f>IFERROR(MONTH('RAW DATA'!B100),0)</f>
        <v>11</v>
      </c>
      <c r="T100" s="2" t="str">
        <f t="shared" si="2"/>
        <v>Q4</v>
      </c>
      <c r="U100" s="2" t="str">
        <f>IF('RAW DATA'!I100&gt;20,"High",IF('RAW DATA'!I100&gt;10,"Medium","Low"))</f>
        <v>Medium</v>
      </c>
      <c r="V100" s="2" t="str">
        <f>IF('RAW DATA'!B100="","Yes","No")</f>
        <v>No</v>
      </c>
      <c r="W100" s="2" t="str">
        <f>IF(COUNTIF(A$2:A399,A100)&gt;1,"Duplicate","OK")</f>
        <v>OK</v>
      </c>
      <c r="X100">
        <f t="shared" si="3"/>
        <v>4</v>
      </c>
    </row>
    <row r="101" spans="1:24" x14ac:dyDescent="0.25">
      <c r="A101" s="3" t="s">
        <v>259</v>
      </c>
      <c r="B101" s="3" t="s">
        <v>260</v>
      </c>
      <c r="C101" s="3" t="s">
        <v>78</v>
      </c>
      <c r="D101" s="2" t="str">
        <f>PROPER('RAW DATA'!D101)</f>
        <v>Eve Ingabire</v>
      </c>
      <c r="E101" s="3" t="s">
        <v>20</v>
      </c>
      <c r="F101" s="3" t="s">
        <v>21</v>
      </c>
      <c r="G101" s="3" t="s">
        <v>43</v>
      </c>
      <c r="H101" s="3" t="s">
        <v>95</v>
      </c>
      <c r="I101" s="5">
        <f>IFERROR(IF('RAW DATA'!I101="",AVERAGE('RAW DATA'!I$2:I$301),'RAW DATA'!I101),0)</f>
        <v>6.6</v>
      </c>
      <c r="J101" s="3">
        <v>5.8</v>
      </c>
      <c r="K101" s="3" t="s">
        <v>26</v>
      </c>
      <c r="L101" s="2">
        <f>IFERROR(IF('RAW DATA'!L101="",3,'RAW DATA'!L101),3)</f>
        <v>3</v>
      </c>
      <c r="M101" s="3" t="s">
        <v>90</v>
      </c>
      <c r="N101" s="3" t="s">
        <v>26</v>
      </c>
      <c r="O101" s="3">
        <v>1</v>
      </c>
      <c r="P101" s="3" t="s">
        <v>13</v>
      </c>
      <c r="Q101" s="10" t="s">
        <v>82</v>
      </c>
      <c r="R101" s="3" t="str">
        <f>IFERROR(TEXT('RAW DATA'!B101,"MMMM"),"UKNNOWN")</f>
        <v>February</v>
      </c>
      <c r="S101" s="5">
        <f>IFERROR(MONTH('RAW DATA'!B101),0)</f>
        <v>2</v>
      </c>
      <c r="T101" s="3" t="str">
        <f t="shared" si="2"/>
        <v>Q1</v>
      </c>
      <c r="U101" s="3" t="str">
        <f>IF('RAW DATA'!I101&gt;20,"High",IF('RAW DATA'!I101&gt;10,"Medium","Low"))</f>
        <v>Low</v>
      </c>
      <c r="V101" s="3" t="str">
        <f>IF('RAW DATA'!B101="","Yes","No")</f>
        <v>No</v>
      </c>
      <c r="W101" s="2" t="str">
        <f>IF(COUNTIF(A$2:A400,A101)&gt;1,"Duplicate","OK")</f>
        <v>OK</v>
      </c>
      <c r="X101">
        <f t="shared" si="3"/>
        <v>3</v>
      </c>
    </row>
    <row r="102" spans="1:24" x14ac:dyDescent="0.25">
      <c r="A102" s="2" t="s">
        <v>261</v>
      </c>
      <c r="B102" s="2"/>
      <c r="C102" s="2" t="s">
        <v>18</v>
      </c>
      <c r="D102" s="2" t="str">
        <f>PROPER('RAW DATA'!D102)</f>
        <v>Bob Nshimiyimana</v>
      </c>
      <c r="E102" s="2" t="s">
        <v>20</v>
      </c>
      <c r="F102" s="2" t="s">
        <v>21</v>
      </c>
      <c r="G102" s="2" t="s">
        <v>41</v>
      </c>
      <c r="H102" s="2" t="s">
        <v>80</v>
      </c>
      <c r="I102" s="5">
        <f>IFERROR(IF('RAW DATA'!I102="",AVERAGE('RAW DATA'!I$2:I$301),'RAW DATA'!I102),0)</f>
        <v>6.8</v>
      </c>
      <c r="J102" s="2">
        <v>4.2</v>
      </c>
      <c r="K102" s="2" t="s">
        <v>24</v>
      </c>
      <c r="L102" s="2">
        <f>IFERROR(IF('RAW DATA'!L102="",3,'RAW DATA'!L102),3)</f>
        <v>5</v>
      </c>
      <c r="M102" s="2" t="s">
        <v>25</v>
      </c>
      <c r="N102" s="2" t="s">
        <v>26</v>
      </c>
      <c r="O102" s="2">
        <v>0</v>
      </c>
      <c r="P102" s="2" t="s">
        <v>52</v>
      </c>
      <c r="Q102" s="9" t="s">
        <v>28</v>
      </c>
      <c r="R102" s="2" t="str">
        <f>IFERROR(TEXT('RAW DATA'!B102,"MMMM"),"UKNNOWN")</f>
        <v>January</v>
      </c>
      <c r="S102" s="5">
        <f>IFERROR(MONTH('RAW DATA'!B102),0)</f>
        <v>1</v>
      </c>
      <c r="T102" s="2" t="str">
        <f t="shared" si="2"/>
        <v>Q1</v>
      </c>
      <c r="U102" s="2" t="str">
        <f>IF('RAW DATA'!I102&gt;20,"High",IF('RAW DATA'!I102&gt;10,"Medium","Low"))</f>
        <v>Low</v>
      </c>
      <c r="V102" s="2" t="str">
        <f>IF('RAW DATA'!B102="","Yes","No")</f>
        <v>Yes</v>
      </c>
      <c r="W102" s="2" t="str">
        <f>IF(COUNTIF(A$2:A401,A102)&gt;1,"Duplicate","OK")</f>
        <v>OK</v>
      </c>
      <c r="X102">
        <f t="shared" si="3"/>
        <v>5</v>
      </c>
    </row>
    <row r="103" spans="1:24" x14ac:dyDescent="0.25">
      <c r="A103" s="3" t="s">
        <v>262</v>
      </c>
      <c r="B103" s="3" t="s">
        <v>263</v>
      </c>
      <c r="C103" s="3" t="s">
        <v>105</v>
      </c>
      <c r="D103" s="2" t="str">
        <f>PROPER('RAW DATA'!D103)</f>
        <v>Alice Uwimana</v>
      </c>
      <c r="E103" s="3" t="s">
        <v>20</v>
      </c>
      <c r="F103" s="3" t="s">
        <v>21</v>
      </c>
      <c r="G103" s="3" t="s">
        <v>22</v>
      </c>
      <c r="H103" s="3" t="s">
        <v>80</v>
      </c>
      <c r="I103" s="5">
        <f>IFERROR(IF('RAW DATA'!I103="",AVERAGE('RAW DATA'!I$2:I$301),'RAW DATA'!I103),0)</f>
        <v>7.9</v>
      </c>
      <c r="J103" s="3">
        <v>5</v>
      </c>
      <c r="K103" s="3" t="s">
        <v>24</v>
      </c>
      <c r="L103" s="2">
        <f>IFERROR(IF('RAW DATA'!L103="",3,'RAW DATA'!L103),3)</f>
        <v>4</v>
      </c>
      <c r="M103" s="3" t="s">
        <v>25</v>
      </c>
      <c r="N103" s="3" t="s">
        <v>26</v>
      </c>
      <c r="O103" s="3">
        <v>1</v>
      </c>
      <c r="P103" s="3" t="s">
        <v>27</v>
      </c>
      <c r="Q103" s="10" t="s">
        <v>107</v>
      </c>
      <c r="R103" s="3" t="str">
        <f>IFERROR(TEXT('RAW DATA'!B103,"MMMM"),"UKNNOWN")</f>
        <v>July</v>
      </c>
      <c r="S103" s="5">
        <f>IFERROR(MONTH('RAW DATA'!B103),0)</f>
        <v>7</v>
      </c>
      <c r="T103" s="3" t="str">
        <f t="shared" si="2"/>
        <v>Q3</v>
      </c>
      <c r="U103" s="3" t="str">
        <f>IF('RAW DATA'!I103&gt;20,"High",IF('RAW DATA'!I103&gt;10,"Medium","Low"))</f>
        <v>Low</v>
      </c>
      <c r="V103" s="3" t="str">
        <f>IF('RAW DATA'!B103="","Yes","No")</f>
        <v>No</v>
      </c>
      <c r="W103" s="2" t="str">
        <f>IF(COUNTIF(A$2:A402,A103)&gt;1,"Duplicate","OK")</f>
        <v>OK</v>
      </c>
      <c r="X103">
        <f t="shared" si="3"/>
        <v>4</v>
      </c>
    </row>
    <row r="104" spans="1:24" x14ac:dyDescent="0.25">
      <c r="A104" s="2" t="s">
        <v>264</v>
      </c>
      <c r="B104" s="2" t="s">
        <v>265</v>
      </c>
      <c r="C104" s="2" t="s">
        <v>31</v>
      </c>
      <c r="D104" s="2" t="str">
        <f>PROPER('RAW DATA'!D104)</f>
        <v>David Habimana</v>
      </c>
      <c r="E104" s="2" t="s">
        <v>33</v>
      </c>
      <c r="F104" s="2" t="s">
        <v>34</v>
      </c>
      <c r="G104" s="2" t="s">
        <v>43</v>
      </c>
      <c r="H104" s="2" t="s">
        <v>58</v>
      </c>
      <c r="I104" s="5">
        <f>IFERROR(IF('RAW DATA'!I104="",AVERAGE('RAW DATA'!I$2:I$301),'RAW DATA'!I104),0)</f>
        <v>3.9</v>
      </c>
      <c r="J104" s="2">
        <v>4.5</v>
      </c>
      <c r="K104" s="2" t="s">
        <v>24</v>
      </c>
      <c r="L104" s="2">
        <f>IFERROR(IF('RAW DATA'!L104="",3,'RAW DATA'!L104),3)</f>
        <v>5</v>
      </c>
      <c r="M104" s="2" t="s">
        <v>59</v>
      </c>
      <c r="N104" s="2" t="s">
        <v>26</v>
      </c>
      <c r="O104" s="2">
        <v>1</v>
      </c>
      <c r="P104" s="2" t="s">
        <v>27</v>
      </c>
      <c r="Q104" s="9" t="s">
        <v>36</v>
      </c>
      <c r="R104" s="2" t="str">
        <f>IFERROR(TEXT('RAW DATA'!B104,"MMMM"),"UKNNOWN")</f>
        <v>December</v>
      </c>
      <c r="S104" s="5">
        <f>IFERROR(MONTH('RAW DATA'!B104),0)</f>
        <v>12</v>
      </c>
      <c r="T104" s="2" t="str">
        <f t="shared" si="2"/>
        <v>Q4</v>
      </c>
      <c r="U104" s="2" t="str">
        <f>IF('RAW DATA'!I104&gt;20,"High",IF('RAW DATA'!I104&gt;10,"Medium","Low"))</f>
        <v>Low</v>
      </c>
      <c r="V104" s="2" t="str">
        <f>IF('RAW DATA'!B104="","Yes","No")</f>
        <v>No</v>
      </c>
      <c r="W104" s="2" t="str">
        <f>IF(COUNTIF(A$2:A403,A104)&gt;1,"Duplicate","OK")</f>
        <v>OK</v>
      </c>
      <c r="X104">
        <f t="shared" si="3"/>
        <v>5</v>
      </c>
    </row>
    <row r="105" spans="1:24" x14ac:dyDescent="0.25">
      <c r="A105" s="3" t="s">
        <v>266</v>
      </c>
      <c r="B105" s="3" t="s">
        <v>267</v>
      </c>
      <c r="C105" s="3" t="s">
        <v>78</v>
      </c>
      <c r="D105" s="2" t="str">
        <f>PROPER('RAW DATA'!D105)</f>
        <v>Eve Ingabire</v>
      </c>
      <c r="E105" s="3" t="s">
        <v>20</v>
      </c>
      <c r="F105" s="3" t="s">
        <v>21</v>
      </c>
      <c r="G105" s="3" t="s">
        <v>43</v>
      </c>
      <c r="H105" s="3" t="s">
        <v>72</v>
      </c>
      <c r="I105" s="5">
        <f>IFERROR(IF('RAW DATA'!I105="",AVERAGE('RAW DATA'!I$2:I$301),'RAW DATA'!I105),0)</f>
        <v>7.1</v>
      </c>
      <c r="J105" s="3">
        <v>3.2</v>
      </c>
      <c r="K105" s="3" t="s">
        <v>26</v>
      </c>
      <c r="L105" s="2">
        <f>IFERROR(IF('RAW DATA'!L105="",3,'RAW DATA'!L105),3)</f>
        <v>1</v>
      </c>
      <c r="M105" s="3" t="s">
        <v>51</v>
      </c>
      <c r="N105" s="3" t="s">
        <v>24</v>
      </c>
      <c r="O105" s="3">
        <v>3</v>
      </c>
      <c r="P105" s="3" t="s">
        <v>45</v>
      </c>
      <c r="Q105" s="10" t="s">
        <v>82</v>
      </c>
      <c r="R105" s="3" t="str">
        <f>IFERROR(TEXT('RAW DATA'!B105,"MMMM"),"UKNNOWN")</f>
        <v>December</v>
      </c>
      <c r="S105" s="5">
        <f>IFERROR(MONTH('RAW DATA'!B105),0)</f>
        <v>12</v>
      </c>
      <c r="T105" s="3" t="str">
        <f t="shared" si="2"/>
        <v>Q4</v>
      </c>
      <c r="U105" s="3" t="str">
        <f>IF('RAW DATA'!I105&gt;20,"High",IF('RAW DATA'!I105&gt;10,"Medium","Low"))</f>
        <v>Low</v>
      </c>
      <c r="V105" s="3" t="str">
        <f>IF('RAW DATA'!B105="","Yes","No")</f>
        <v>No</v>
      </c>
      <c r="W105" s="2" t="str">
        <f>IF(COUNTIF(A$2:A404,A105)&gt;1,"Duplicate","OK")</f>
        <v>OK</v>
      </c>
      <c r="X105">
        <f t="shared" si="3"/>
        <v>1</v>
      </c>
    </row>
    <row r="106" spans="1:24" x14ac:dyDescent="0.25">
      <c r="A106" s="2" t="s">
        <v>268</v>
      </c>
      <c r="B106" s="2" t="s">
        <v>269</v>
      </c>
      <c r="C106" s="2" t="s">
        <v>39</v>
      </c>
      <c r="D106" s="2" t="str">
        <f>PROPER('RAW DATA'!D106)</f>
        <v>Grace Uwase</v>
      </c>
      <c r="E106" s="2" t="s">
        <v>41</v>
      </c>
      <c r="F106" s="2" t="s">
        <v>42</v>
      </c>
      <c r="G106" s="2" t="s">
        <v>43</v>
      </c>
      <c r="H106" s="2" t="s">
        <v>44</v>
      </c>
      <c r="I106" s="5">
        <f>IFERROR(IF('RAW DATA'!I106="",AVERAGE('RAW DATA'!I$2:I$301),'RAW DATA'!I106),0)</f>
        <v>3.7</v>
      </c>
      <c r="J106" s="2">
        <v>4.9000000000000004</v>
      </c>
      <c r="K106" s="2" t="s">
        <v>24</v>
      </c>
      <c r="L106" s="2">
        <f>IFERROR(IF('RAW DATA'!L106="",3,'RAW DATA'!L106),3)</f>
        <v>5</v>
      </c>
      <c r="M106" s="2" t="s">
        <v>25</v>
      </c>
      <c r="N106" s="2" t="s">
        <v>26</v>
      </c>
      <c r="O106" s="2">
        <v>1</v>
      </c>
      <c r="P106" s="2" t="s">
        <v>27</v>
      </c>
      <c r="Q106" s="9" t="s">
        <v>46</v>
      </c>
      <c r="R106" s="2" t="str">
        <f>IFERROR(TEXT('RAW DATA'!B106,"MMMM"),"UKNNOWN")</f>
        <v>March</v>
      </c>
      <c r="S106" s="5">
        <f>IFERROR(MONTH('RAW DATA'!B106),0)</f>
        <v>3</v>
      </c>
      <c r="T106" s="2" t="str">
        <f t="shared" si="2"/>
        <v>Q1</v>
      </c>
      <c r="U106" s="2" t="str">
        <f>IF('RAW DATA'!I106&gt;20,"High",IF('RAW DATA'!I106&gt;10,"Medium","Low"))</f>
        <v>Low</v>
      </c>
      <c r="V106" s="2" t="str">
        <f>IF('RAW DATA'!B106="","Yes","No")</f>
        <v>No</v>
      </c>
      <c r="W106" s="2" t="str">
        <f>IF(COUNTIF(A$2:A405,A106)&gt;1,"Duplicate","OK")</f>
        <v>OK</v>
      </c>
      <c r="X106">
        <f t="shared" si="3"/>
        <v>5</v>
      </c>
    </row>
    <row r="107" spans="1:24" x14ac:dyDescent="0.25">
      <c r="A107" s="3" t="s">
        <v>270</v>
      </c>
      <c r="B107" s="3" t="s">
        <v>271</v>
      </c>
      <c r="C107" s="3" t="s">
        <v>56</v>
      </c>
      <c r="D107" s="2" t="str">
        <f>PROPER('RAW DATA'!D107)</f>
        <v>John Gasana</v>
      </c>
      <c r="E107" s="3" t="s">
        <v>41</v>
      </c>
      <c r="F107" s="3" t="s">
        <v>42</v>
      </c>
      <c r="G107" s="3" t="s">
        <v>43</v>
      </c>
      <c r="H107" s="3" t="s">
        <v>80</v>
      </c>
      <c r="I107" s="5">
        <f>IFERROR(IF('RAW DATA'!I107="",AVERAGE('RAW DATA'!I$2:I$301),'RAW DATA'!I107),0)</f>
        <v>7.6041237113402103</v>
      </c>
      <c r="J107" s="3">
        <v>6.7</v>
      </c>
      <c r="K107" s="3" t="s">
        <v>26</v>
      </c>
      <c r="L107" s="2">
        <f>IFERROR(IF('RAW DATA'!L107="",3,'RAW DATA'!L107),3)</f>
        <v>1</v>
      </c>
      <c r="M107" s="3" t="s">
        <v>25</v>
      </c>
      <c r="N107" s="3" t="s">
        <v>24</v>
      </c>
      <c r="O107" s="3">
        <v>3</v>
      </c>
      <c r="P107" s="3" t="s">
        <v>52</v>
      </c>
      <c r="Q107" s="10" t="s">
        <v>60</v>
      </c>
      <c r="R107" s="3" t="str">
        <f>IFERROR(TEXT('RAW DATA'!B107,"MMMM"),"UKNNOWN")</f>
        <v>September</v>
      </c>
      <c r="S107" s="5">
        <f>IFERROR(MONTH('RAW DATA'!B107),0)</f>
        <v>9</v>
      </c>
      <c r="T107" s="3" t="str">
        <f t="shared" si="2"/>
        <v>Q3</v>
      </c>
      <c r="U107" s="3" t="str">
        <f>IF('RAW DATA'!I107&gt;20,"High",IF('RAW DATA'!I107&gt;10,"Medium","Low"))</f>
        <v>Low</v>
      </c>
      <c r="V107" s="3" t="str">
        <f>IF('RAW DATA'!B107="","Yes","No")</f>
        <v>No</v>
      </c>
      <c r="W107" s="2" t="str">
        <f>IF(COUNTIF(A$2:A406,A107)&gt;1,"Duplicate","OK")</f>
        <v>OK</v>
      </c>
      <c r="X107">
        <f t="shared" si="3"/>
        <v>1</v>
      </c>
    </row>
    <row r="108" spans="1:24" x14ac:dyDescent="0.25">
      <c r="A108" s="2" t="s">
        <v>272</v>
      </c>
      <c r="B108" s="2" t="s">
        <v>273</v>
      </c>
      <c r="C108" s="2" t="s">
        <v>49</v>
      </c>
      <c r="D108" s="2" t="str">
        <f>PROPER('RAW DATA'!D108)</f>
        <v>Frank Nzeyimana</v>
      </c>
      <c r="E108" s="2" t="s">
        <v>41</v>
      </c>
      <c r="F108" s="2" t="s">
        <v>42</v>
      </c>
      <c r="G108" s="2" t="s">
        <v>43</v>
      </c>
      <c r="H108" s="2" t="s">
        <v>58</v>
      </c>
      <c r="I108" s="5">
        <f>IFERROR(IF('RAW DATA'!I108="",AVERAGE('RAW DATA'!I$2:I$301),'RAW DATA'!I108),0)</f>
        <v>1</v>
      </c>
      <c r="J108" s="2">
        <v>2.5</v>
      </c>
      <c r="K108" s="2" t="s">
        <v>24</v>
      </c>
      <c r="L108" s="2">
        <f>IFERROR(IF('RAW DATA'!L108="",3,'RAW DATA'!L108),3)</f>
        <v>4</v>
      </c>
      <c r="M108" s="2" t="s">
        <v>59</v>
      </c>
      <c r="N108" s="2" t="s">
        <v>26</v>
      </c>
      <c r="O108" s="2">
        <v>1</v>
      </c>
      <c r="P108" s="2" t="s">
        <v>66</v>
      </c>
      <c r="Q108" s="9" t="s">
        <v>53</v>
      </c>
      <c r="R108" s="2" t="str">
        <f>IFERROR(TEXT('RAW DATA'!B108,"MMMM"),"UKNNOWN")</f>
        <v>December</v>
      </c>
      <c r="S108" s="5">
        <f>IFERROR(MONTH('RAW DATA'!B108),0)</f>
        <v>12</v>
      </c>
      <c r="T108" s="2" t="str">
        <f t="shared" si="2"/>
        <v>Q4</v>
      </c>
      <c r="U108" s="2" t="str">
        <f>IF('RAW DATA'!I108&gt;20,"High",IF('RAW DATA'!I108&gt;10,"Medium","Low"))</f>
        <v>Low</v>
      </c>
      <c r="V108" s="2" t="str">
        <f>IF('RAW DATA'!B108="","Yes","No")</f>
        <v>No</v>
      </c>
      <c r="W108" s="2" t="str">
        <f>IF(COUNTIF(A$2:A407,A108)&gt;1,"Duplicate","OK")</f>
        <v>OK</v>
      </c>
      <c r="X108">
        <f t="shared" si="3"/>
        <v>4</v>
      </c>
    </row>
    <row r="109" spans="1:24" x14ac:dyDescent="0.25">
      <c r="A109" s="3" t="s">
        <v>274</v>
      </c>
      <c r="B109" s="3" t="s">
        <v>260</v>
      </c>
      <c r="C109" s="3" t="s">
        <v>31</v>
      </c>
      <c r="D109" s="2" t="str">
        <f>PROPER('RAW DATA'!D109)</f>
        <v>David Habimana</v>
      </c>
      <c r="E109" s="3" t="s">
        <v>33</v>
      </c>
      <c r="F109" s="3" t="s">
        <v>34</v>
      </c>
      <c r="G109" s="3" t="s">
        <v>41</v>
      </c>
      <c r="H109" s="3" t="s">
        <v>72</v>
      </c>
      <c r="I109" s="5">
        <f>IFERROR(IF('RAW DATA'!I109="",AVERAGE('RAW DATA'!I$2:I$301),'RAW DATA'!I109),0)</f>
        <v>5.5</v>
      </c>
      <c r="J109" s="3">
        <v>1.9</v>
      </c>
      <c r="K109" s="3" t="s">
        <v>26</v>
      </c>
      <c r="L109" s="2">
        <f>IFERROR(IF('RAW DATA'!L109="",3,'RAW DATA'!L109),3)</f>
        <v>1</v>
      </c>
      <c r="M109" s="3" t="s">
        <v>25</v>
      </c>
      <c r="N109" s="3" t="s">
        <v>26</v>
      </c>
      <c r="O109" s="3">
        <v>0</v>
      </c>
      <c r="P109" s="3" t="s">
        <v>13</v>
      </c>
      <c r="Q109" s="10" t="s">
        <v>36</v>
      </c>
      <c r="R109" s="3" t="str">
        <f>IFERROR(TEXT('RAW DATA'!B109,"MMMM"),"UKNNOWN")</f>
        <v>February</v>
      </c>
      <c r="S109" s="5">
        <f>IFERROR(MONTH('RAW DATA'!B109),0)</f>
        <v>2</v>
      </c>
      <c r="T109" s="3" t="str">
        <f t="shared" si="2"/>
        <v>Q1</v>
      </c>
      <c r="U109" s="3" t="str">
        <f>IF('RAW DATA'!I109&gt;20,"High",IF('RAW DATA'!I109&gt;10,"Medium","Low"))</f>
        <v>Low</v>
      </c>
      <c r="V109" s="3" t="str">
        <f>IF('RAW DATA'!B109="","Yes","No")</f>
        <v>No</v>
      </c>
      <c r="W109" s="2" t="str">
        <f>IF(COUNTIF(A$2:A408,A109)&gt;1,"Duplicate","OK")</f>
        <v>OK</v>
      </c>
      <c r="X109">
        <f t="shared" si="3"/>
        <v>1</v>
      </c>
    </row>
    <row r="110" spans="1:24" x14ac:dyDescent="0.25">
      <c r="A110" s="2" t="s">
        <v>275</v>
      </c>
      <c r="B110" s="2" t="s">
        <v>153</v>
      </c>
      <c r="C110" s="2" t="s">
        <v>31</v>
      </c>
      <c r="D110" s="2" t="str">
        <f>PROPER('RAW DATA'!D110)</f>
        <v>David Habimana</v>
      </c>
      <c r="E110" s="2" t="s">
        <v>33</v>
      </c>
      <c r="F110" s="2" t="s">
        <v>34</v>
      </c>
      <c r="G110" s="2" t="s">
        <v>43</v>
      </c>
      <c r="H110" s="2" t="s">
        <v>65</v>
      </c>
      <c r="I110" s="5">
        <f>IFERROR(IF('RAW DATA'!I110="",AVERAGE('RAW DATA'!I$2:I$301),'RAW DATA'!I110),0)</f>
        <v>3.3</v>
      </c>
      <c r="J110" s="2">
        <v>2.1</v>
      </c>
      <c r="K110" s="2" t="s">
        <v>24</v>
      </c>
      <c r="L110" s="2">
        <f>IFERROR(IF('RAW DATA'!L110="",3,'RAW DATA'!L110),3)</f>
        <v>3</v>
      </c>
      <c r="M110" s="2" t="s">
        <v>51</v>
      </c>
      <c r="N110" s="2" t="s">
        <v>26</v>
      </c>
      <c r="O110" s="2">
        <v>0</v>
      </c>
      <c r="P110" s="2" t="s">
        <v>66</v>
      </c>
      <c r="Q110" s="9" t="s">
        <v>36</v>
      </c>
      <c r="R110" s="2" t="str">
        <f>IFERROR(TEXT('RAW DATA'!B110,"MMMM"),"UKNNOWN")</f>
        <v>October</v>
      </c>
      <c r="S110" s="5">
        <f>IFERROR(MONTH('RAW DATA'!B110),0)</f>
        <v>10</v>
      </c>
      <c r="T110" s="2" t="str">
        <f t="shared" si="2"/>
        <v>Q4</v>
      </c>
      <c r="U110" s="2" t="str">
        <f>IF('RAW DATA'!I110&gt;20,"High",IF('RAW DATA'!I110&gt;10,"Medium","Low"))</f>
        <v>Low</v>
      </c>
      <c r="V110" s="2" t="str">
        <f>IF('RAW DATA'!B110="","Yes","No")</f>
        <v>No</v>
      </c>
      <c r="W110" s="2" t="str">
        <f>IF(COUNTIF(A$2:A409,A110)&gt;1,"Duplicate","OK")</f>
        <v>OK</v>
      </c>
      <c r="X110">
        <f t="shared" si="3"/>
        <v>3</v>
      </c>
    </row>
    <row r="111" spans="1:24" x14ac:dyDescent="0.25">
      <c r="A111" s="3" t="s">
        <v>276</v>
      </c>
      <c r="B111" s="3" t="s">
        <v>277</v>
      </c>
      <c r="C111" s="3" t="s">
        <v>70</v>
      </c>
      <c r="D111" s="2" t="str">
        <f>PROPER('RAW DATA'!D111)</f>
        <v>Claire Mukamana</v>
      </c>
      <c r="E111" s="3" t="s">
        <v>33</v>
      </c>
      <c r="F111" s="3" t="s">
        <v>34</v>
      </c>
      <c r="G111" s="3" t="s">
        <v>43</v>
      </c>
      <c r="H111" s="3" t="s">
        <v>23</v>
      </c>
      <c r="I111" s="5">
        <f>IFERROR(IF('RAW DATA'!I111="",AVERAGE('RAW DATA'!I$2:I$301),'RAW DATA'!I111),0)</f>
        <v>12.6</v>
      </c>
      <c r="J111" s="3">
        <v>6.6</v>
      </c>
      <c r="K111" s="3" t="s">
        <v>26</v>
      </c>
      <c r="L111" s="2">
        <f>IFERROR(IF('RAW DATA'!L111="",3,'RAW DATA'!L111),3)</f>
        <v>3</v>
      </c>
      <c r="M111" s="3" t="s">
        <v>81</v>
      </c>
      <c r="N111" s="3" t="s">
        <v>26</v>
      </c>
      <c r="O111" s="3">
        <v>0</v>
      </c>
      <c r="P111" s="3" t="s">
        <v>27</v>
      </c>
      <c r="Q111" s="10" t="s">
        <v>73</v>
      </c>
      <c r="R111" s="3" t="str">
        <f>IFERROR(TEXT('RAW DATA'!B111,"MMMM"),"UKNNOWN")</f>
        <v>May</v>
      </c>
      <c r="S111" s="5">
        <f>IFERROR(MONTH('RAW DATA'!B111),0)</f>
        <v>5</v>
      </c>
      <c r="T111" s="3" t="str">
        <f t="shared" si="2"/>
        <v>Q2</v>
      </c>
      <c r="U111" s="3" t="str">
        <f>IF('RAW DATA'!I111&gt;20,"High",IF('RAW DATA'!I111&gt;10,"Medium","Low"))</f>
        <v>Medium</v>
      </c>
      <c r="V111" s="3" t="str">
        <f>IF('RAW DATA'!B111="","Yes","No")</f>
        <v>No</v>
      </c>
      <c r="W111" s="2" t="str">
        <f>IF(COUNTIF(A$2:A410,A111)&gt;1,"Duplicate","OK")</f>
        <v>OK</v>
      </c>
      <c r="X111">
        <f t="shared" si="3"/>
        <v>3</v>
      </c>
    </row>
    <row r="112" spans="1:24" x14ac:dyDescent="0.25">
      <c r="A112" s="2" t="s">
        <v>278</v>
      </c>
      <c r="B112" s="2" t="s">
        <v>117</v>
      </c>
      <c r="C112" s="2" t="s">
        <v>105</v>
      </c>
      <c r="D112" s="2" t="str">
        <f>PROPER('RAW DATA'!D112)</f>
        <v>Alice Uwimana</v>
      </c>
      <c r="E112" s="2" t="s">
        <v>20</v>
      </c>
      <c r="F112" s="2" t="s">
        <v>21</v>
      </c>
      <c r="G112" s="2" t="s">
        <v>41</v>
      </c>
      <c r="H112" s="2" t="s">
        <v>58</v>
      </c>
      <c r="I112" s="5">
        <f>IFERROR(IF('RAW DATA'!I112="",AVERAGE('RAW DATA'!I$2:I$301),'RAW DATA'!I112),0)</f>
        <v>10.199999999999999</v>
      </c>
      <c r="J112" s="2">
        <v>5.5</v>
      </c>
      <c r="K112" s="2" t="s">
        <v>26</v>
      </c>
      <c r="L112" s="2">
        <f>IFERROR(IF('RAW DATA'!L112="",3,'RAW DATA'!L112),3)</f>
        <v>2</v>
      </c>
      <c r="M112" s="2" t="s">
        <v>59</v>
      </c>
      <c r="N112" s="2" t="s">
        <v>24</v>
      </c>
      <c r="O112" s="2">
        <v>3</v>
      </c>
      <c r="P112" s="2" t="s">
        <v>66</v>
      </c>
      <c r="Q112" s="9" t="s">
        <v>107</v>
      </c>
      <c r="R112" s="2" t="str">
        <f>IFERROR(TEXT('RAW DATA'!B112,"MMMM"),"UKNNOWN")</f>
        <v>May</v>
      </c>
      <c r="S112" s="5">
        <f>IFERROR(MONTH('RAW DATA'!B112),0)</f>
        <v>5</v>
      </c>
      <c r="T112" s="2" t="str">
        <f t="shared" si="2"/>
        <v>Q2</v>
      </c>
      <c r="U112" s="2" t="str">
        <f>IF('RAW DATA'!I112&gt;20,"High",IF('RAW DATA'!I112&gt;10,"Medium","Low"))</f>
        <v>Medium</v>
      </c>
      <c r="V112" s="2" t="str">
        <f>IF('RAW DATA'!B112="","Yes","No")</f>
        <v>No</v>
      </c>
      <c r="W112" s="2" t="str">
        <f>IF(COUNTIF(A$2:A411,A112)&gt;1,"Duplicate","OK")</f>
        <v>OK</v>
      </c>
      <c r="X112">
        <f t="shared" si="3"/>
        <v>2</v>
      </c>
    </row>
    <row r="113" spans="1:24" x14ac:dyDescent="0.25">
      <c r="A113" s="3" t="s">
        <v>279</v>
      </c>
      <c r="B113" s="3" t="s">
        <v>280</v>
      </c>
      <c r="C113" s="3" t="s">
        <v>31</v>
      </c>
      <c r="D113" s="2" t="str">
        <f>PROPER('RAW DATA'!D113)</f>
        <v>David Habimana</v>
      </c>
      <c r="E113" s="3" t="s">
        <v>33</v>
      </c>
      <c r="F113" s="3" t="s">
        <v>34</v>
      </c>
      <c r="G113" s="3" t="s">
        <v>43</v>
      </c>
      <c r="H113" s="3" t="s">
        <v>23</v>
      </c>
      <c r="I113" s="5">
        <f>IFERROR(IF('RAW DATA'!I113="",AVERAGE('RAW DATA'!I$2:I$301),'RAW DATA'!I113),0)</f>
        <v>8.8000000000000007</v>
      </c>
      <c r="J113" s="3">
        <v>3.8</v>
      </c>
      <c r="K113" s="3" t="s">
        <v>24</v>
      </c>
      <c r="L113" s="2">
        <f>IFERROR(IF('RAW DATA'!L113="",3,'RAW DATA'!L113),3)</f>
        <v>5</v>
      </c>
      <c r="M113" s="3" t="s">
        <v>59</v>
      </c>
      <c r="N113" s="3" t="s">
        <v>26</v>
      </c>
      <c r="O113" s="3">
        <v>1</v>
      </c>
      <c r="P113" s="3" t="s">
        <v>52</v>
      </c>
      <c r="Q113" s="10" t="s">
        <v>36</v>
      </c>
      <c r="R113" s="3" t="str">
        <f>IFERROR(TEXT('RAW DATA'!B113,"MMMM"),"UKNNOWN")</f>
        <v>September</v>
      </c>
      <c r="S113" s="5">
        <f>IFERROR(MONTH('RAW DATA'!B113),0)</f>
        <v>9</v>
      </c>
      <c r="T113" s="3" t="str">
        <f t="shared" si="2"/>
        <v>Q3</v>
      </c>
      <c r="U113" s="3" t="str">
        <f>IF('RAW DATA'!I113&gt;20,"High",IF('RAW DATA'!I113&gt;10,"Medium","Low"))</f>
        <v>Low</v>
      </c>
      <c r="V113" s="3" t="str">
        <f>IF('RAW DATA'!B113="","Yes","No")</f>
        <v>No</v>
      </c>
      <c r="W113" s="2" t="str">
        <f>IF(COUNTIF(A$2:A412,A113)&gt;1,"Duplicate","OK")</f>
        <v>OK</v>
      </c>
      <c r="X113">
        <f t="shared" si="3"/>
        <v>5</v>
      </c>
    </row>
    <row r="114" spans="1:24" x14ac:dyDescent="0.25">
      <c r="A114" s="2" t="s">
        <v>281</v>
      </c>
      <c r="B114" s="2" t="s">
        <v>282</v>
      </c>
      <c r="C114" s="2" t="s">
        <v>39</v>
      </c>
      <c r="D114" s="2" t="str">
        <f>PROPER('RAW DATA'!D114)</f>
        <v>Grace Uwase</v>
      </c>
      <c r="E114" s="2" t="s">
        <v>41</v>
      </c>
      <c r="F114" s="2" t="s">
        <v>42</v>
      </c>
      <c r="G114" s="2" t="s">
        <v>43</v>
      </c>
      <c r="H114" s="2" t="s">
        <v>65</v>
      </c>
      <c r="I114" s="5">
        <f>IFERROR(IF('RAW DATA'!I114="",AVERAGE('RAW DATA'!I$2:I$301),'RAW DATA'!I114),0)</f>
        <v>6.6</v>
      </c>
      <c r="J114" s="2">
        <v>1.9</v>
      </c>
      <c r="K114" s="2" t="s">
        <v>24</v>
      </c>
      <c r="L114" s="2">
        <f>IFERROR(IF('RAW DATA'!L114="",3,'RAW DATA'!L114),3)</f>
        <v>5</v>
      </c>
      <c r="M114" s="2" t="s">
        <v>25</v>
      </c>
      <c r="N114" s="2" t="s">
        <v>26</v>
      </c>
      <c r="O114" s="2">
        <v>0</v>
      </c>
      <c r="P114" s="2" t="s">
        <v>45</v>
      </c>
      <c r="Q114" s="9" t="s">
        <v>46</v>
      </c>
      <c r="R114" s="3" t="str">
        <f>IFERROR(TEXT('RAW DATA'!B114,"MMMM"),"UKNNOWN")</f>
        <v>July</v>
      </c>
      <c r="S114" s="5">
        <f>IFERROR(MONTH('RAW DATA'!B114),0)</f>
        <v>7</v>
      </c>
      <c r="T114" s="2" t="str">
        <f t="shared" si="2"/>
        <v>Q3</v>
      </c>
      <c r="U114" s="2" t="str">
        <f>IF('RAW DATA'!I114&gt;20,"High",IF('RAW DATA'!I114&gt;10,"Medium","Low"))</f>
        <v>Low</v>
      </c>
      <c r="V114" s="2" t="str">
        <f>IF('RAW DATA'!B114="","Yes","No")</f>
        <v>No</v>
      </c>
      <c r="W114" s="2" t="str">
        <f>IF(COUNTIF(A$2:A413,A114)&gt;1,"Duplicate","OK")</f>
        <v>OK</v>
      </c>
      <c r="X114">
        <f t="shared" si="3"/>
        <v>5</v>
      </c>
    </row>
    <row r="115" spans="1:24" x14ac:dyDescent="0.25">
      <c r="A115" s="3" t="s">
        <v>283</v>
      </c>
      <c r="B115" s="3" t="s">
        <v>240</v>
      </c>
      <c r="C115" s="3" t="s">
        <v>78</v>
      </c>
      <c r="D115" s="2" t="str">
        <f>PROPER('RAW DATA'!D115)</f>
        <v>Eve Ingabire</v>
      </c>
      <c r="E115" s="3" t="s">
        <v>20</v>
      </c>
      <c r="F115" s="3" t="s">
        <v>21</v>
      </c>
      <c r="G115" s="3" t="s">
        <v>41</v>
      </c>
      <c r="H115" s="3" t="s">
        <v>35</v>
      </c>
      <c r="I115" s="5">
        <f>IFERROR(IF('RAW DATA'!I115="",AVERAGE('RAW DATA'!I$2:I$301),'RAW DATA'!I115),0)</f>
        <v>5.2</v>
      </c>
      <c r="J115" s="3">
        <v>2.1</v>
      </c>
      <c r="K115" s="3" t="s">
        <v>24</v>
      </c>
      <c r="L115" s="2">
        <f>IFERROR(IF('RAW DATA'!L115="",3,'RAW DATA'!L115),3)</f>
        <v>5</v>
      </c>
      <c r="M115" s="3" t="s">
        <v>59</v>
      </c>
      <c r="N115" s="3" t="s">
        <v>26</v>
      </c>
      <c r="O115" s="3">
        <v>1</v>
      </c>
      <c r="P115" s="3" t="s">
        <v>27</v>
      </c>
      <c r="Q115" s="10" t="s">
        <v>82</v>
      </c>
      <c r="R115" s="2" t="str">
        <f>IFERROR(TEXT('RAW DATA'!B115,"MMMM"),"UKNNOWN")</f>
        <v>March</v>
      </c>
      <c r="S115" s="5">
        <f>IFERROR(MONTH('RAW DATA'!B115),0)</f>
        <v>3</v>
      </c>
      <c r="T115" s="3" t="str">
        <f t="shared" si="2"/>
        <v>Q1</v>
      </c>
      <c r="U115" s="3" t="str">
        <f>IF('RAW DATA'!I115&gt;20,"High",IF('RAW DATA'!I115&gt;10,"Medium","Low"))</f>
        <v>Low</v>
      </c>
      <c r="V115" s="3" t="str">
        <f>IF('RAW DATA'!B115="","Yes","No")</f>
        <v>No</v>
      </c>
      <c r="W115" s="2" t="str">
        <f>IF(COUNTIF(A$2:A414,A115)&gt;1,"Duplicate","OK")</f>
        <v>OK</v>
      </c>
      <c r="X115">
        <f t="shared" si="3"/>
        <v>5</v>
      </c>
    </row>
    <row r="116" spans="1:24" x14ac:dyDescent="0.25">
      <c r="A116" s="2" t="s">
        <v>284</v>
      </c>
      <c r="B116" s="2" t="s">
        <v>285</v>
      </c>
      <c r="C116" s="2" t="s">
        <v>56</v>
      </c>
      <c r="D116" s="2" t="str">
        <f>PROPER('RAW DATA'!D116)</f>
        <v>John Gasana</v>
      </c>
      <c r="E116" s="2" t="s">
        <v>41</v>
      </c>
      <c r="F116" s="2" t="s">
        <v>42</v>
      </c>
      <c r="G116" s="2" t="s">
        <v>22</v>
      </c>
      <c r="H116" s="2" t="s">
        <v>72</v>
      </c>
      <c r="I116" s="5">
        <f>IFERROR(IF('RAW DATA'!I116="",AVERAGE('RAW DATA'!I$2:I$301),'RAW DATA'!I116),0)</f>
        <v>3.2</v>
      </c>
      <c r="J116" s="2">
        <v>5.5</v>
      </c>
      <c r="K116" s="2" t="s">
        <v>26</v>
      </c>
      <c r="L116" s="2">
        <f>IFERROR(IF('RAW DATA'!L116="",3,'RAW DATA'!L116),3)</f>
        <v>2</v>
      </c>
      <c r="M116" s="2" t="s">
        <v>59</v>
      </c>
      <c r="N116" s="2" t="s">
        <v>26</v>
      </c>
      <c r="O116" s="2">
        <v>0</v>
      </c>
      <c r="P116" s="2" t="s">
        <v>52</v>
      </c>
      <c r="Q116" s="9" t="s">
        <v>60</v>
      </c>
      <c r="R116" s="3" t="str">
        <f>IFERROR(TEXT('RAW DATA'!B116,"MMMM"),"UKNNOWN")</f>
        <v>September</v>
      </c>
      <c r="S116" s="5">
        <f>IFERROR(MONTH('RAW DATA'!B116),0)</f>
        <v>9</v>
      </c>
      <c r="T116" s="2" t="str">
        <f t="shared" si="2"/>
        <v>Q3</v>
      </c>
      <c r="U116" s="2" t="str">
        <f>IF('RAW DATA'!I116&gt;20,"High",IF('RAW DATA'!I116&gt;10,"Medium","Low"))</f>
        <v>Low</v>
      </c>
      <c r="V116" s="2" t="str">
        <f>IF('RAW DATA'!B116="","Yes","No")</f>
        <v>No</v>
      </c>
      <c r="W116" s="2" t="str">
        <f>IF(COUNTIF(A$2:A415,A116)&gt;1,"Duplicate","OK")</f>
        <v>OK</v>
      </c>
      <c r="X116">
        <f t="shared" si="3"/>
        <v>2</v>
      </c>
    </row>
    <row r="117" spans="1:24" x14ac:dyDescent="0.25">
      <c r="A117" s="3" t="s">
        <v>286</v>
      </c>
      <c r="B117" s="3" t="s">
        <v>287</v>
      </c>
      <c r="C117" s="3" t="s">
        <v>63</v>
      </c>
      <c r="D117" s="2" t="str">
        <f>PROPER('RAW DATA'!D117)</f>
        <v>Henry Bizimana</v>
      </c>
      <c r="E117" s="3" t="s">
        <v>33</v>
      </c>
      <c r="F117" s="3" t="s">
        <v>34</v>
      </c>
      <c r="G117" s="3" t="s">
        <v>43</v>
      </c>
      <c r="H117" s="3" t="s">
        <v>65</v>
      </c>
      <c r="I117" s="5">
        <f>IFERROR(IF('RAW DATA'!I117="",AVERAGE('RAW DATA'!I$2:I$301),'RAW DATA'!I117),0)</f>
        <v>4.0999999999999996</v>
      </c>
      <c r="J117" s="3">
        <v>5.9</v>
      </c>
      <c r="K117" s="3" t="s">
        <v>24</v>
      </c>
      <c r="L117" s="2">
        <f>IFERROR(IF('RAW DATA'!L117="",3,'RAW DATA'!L117),3)</f>
        <v>4</v>
      </c>
      <c r="M117" s="3" t="s">
        <v>59</v>
      </c>
      <c r="N117" s="3" t="s">
        <v>26</v>
      </c>
      <c r="O117" s="3">
        <v>1</v>
      </c>
      <c r="P117" s="3" t="s">
        <v>66</v>
      </c>
      <c r="Q117" s="10" t="s">
        <v>67</v>
      </c>
      <c r="R117" s="2" t="str">
        <f>IFERROR(TEXT('RAW DATA'!B117,"MMMM"),"UKNNOWN")</f>
        <v>June</v>
      </c>
      <c r="S117" s="5">
        <f>IFERROR(MONTH('RAW DATA'!B117),0)</f>
        <v>6</v>
      </c>
      <c r="T117" s="3" t="str">
        <f t="shared" si="2"/>
        <v>Q2</v>
      </c>
      <c r="U117" s="3" t="str">
        <f>IF('RAW DATA'!I117&gt;20,"High",IF('RAW DATA'!I117&gt;10,"Medium","Low"))</f>
        <v>Low</v>
      </c>
      <c r="V117" s="3" t="str">
        <f>IF('RAW DATA'!B117="","Yes","No")</f>
        <v>No</v>
      </c>
      <c r="W117" s="2" t="str">
        <f>IF(COUNTIF(A$2:A416,A117)&gt;1,"Duplicate","OK")</f>
        <v>OK</v>
      </c>
      <c r="X117">
        <f t="shared" si="3"/>
        <v>4</v>
      </c>
    </row>
    <row r="118" spans="1:24" x14ac:dyDescent="0.25">
      <c r="A118" s="2" t="s">
        <v>288</v>
      </c>
      <c r="B118" s="2" t="s">
        <v>104</v>
      </c>
      <c r="C118" s="2" t="s">
        <v>18</v>
      </c>
      <c r="D118" s="2" t="str">
        <f>PROPER('RAW DATA'!D118)</f>
        <v>Bob Nshimiyimana</v>
      </c>
      <c r="E118" s="2" t="s">
        <v>20</v>
      </c>
      <c r="F118" s="2" t="s">
        <v>21</v>
      </c>
      <c r="G118" s="2" t="s">
        <v>43</v>
      </c>
      <c r="H118" s="2" t="s">
        <v>80</v>
      </c>
      <c r="I118" s="5">
        <f>IFERROR(IF('RAW DATA'!I118="",AVERAGE('RAW DATA'!I$2:I$301),'RAW DATA'!I118),0)</f>
        <v>8.6999999999999993</v>
      </c>
      <c r="J118" s="2">
        <v>3.2</v>
      </c>
      <c r="K118" s="2" t="s">
        <v>26</v>
      </c>
      <c r="L118" s="2">
        <f>IFERROR(IF('RAW DATA'!L118="",3,'RAW DATA'!L118),3)</f>
        <v>2</v>
      </c>
      <c r="M118" s="2" t="s">
        <v>25</v>
      </c>
      <c r="N118" s="2" t="s">
        <v>26</v>
      </c>
      <c r="O118" s="2">
        <v>0</v>
      </c>
      <c r="P118" s="2" t="s">
        <v>27</v>
      </c>
      <c r="Q118" s="9" t="s">
        <v>28</v>
      </c>
      <c r="R118" s="3" t="str">
        <f>IFERROR(TEXT('RAW DATA'!B118,"MMMM"),"UKNNOWN")</f>
        <v>February</v>
      </c>
      <c r="S118" s="5">
        <f>IFERROR(MONTH('RAW DATA'!B118),0)</f>
        <v>2</v>
      </c>
      <c r="T118" s="2" t="str">
        <f t="shared" si="2"/>
        <v>Q1</v>
      </c>
      <c r="U118" s="2" t="str">
        <f>IF('RAW DATA'!I118&gt;20,"High",IF('RAW DATA'!I118&gt;10,"Medium","Low"))</f>
        <v>Low</v>
      </c>
      <c r="V118" s="2" t="str">
        <f>IF('RAW DATA'!B118="","Yes","No")</f>
        <v>No</v>
      </c>
      <c r="W118" s="2" t="str">
        <f>IF(COUNTIF(A$2:A417,A118)&gt;1,"Duplicate","OK")</f>
        <v>OK</v>
      </c>
      <c r="X118">
        <f t="shared" si="3"/>
        <v>2</v>
      </c>
    </row>
    <row r="119" spans="1:24" x14ac:dyDescent="0.25">
      <c r="A119" s="3" t="s">
        <v>289</v>
      </c>
      <c r="B119" s="3" t="s">
        <v>238</v>
      </c>
      <c r="C119" s="3" t="s">
        <v>49</v>
      </c>
      <c r="D119" s="2" t="str">
        <f>PROPER('RAW DATA'!D119)</f>
        <v>Frank Nzeyimana</v>
      </c>
      <c r="E119" s="3" t="s">
        <v>41</v>
      </c>
      <c r="F119" s="3" t="s">
        <v>42</v>
      </c>
      <c r="G119" s="3" t="s">
        <v>43</v>
      </c>
      <c r="H119" s="3" t="s">
        <v>80</v>
      </c>
      <c r="I119" s="5">
        <f>IFERROR(IF('RAW DATA'!I119="",AVERAGE('RAW DATA'!I$2:I$301),'RAW DATA'!I119),0)</f>
        <v>13</v>
      </c>
      <c r="J119" s="3">
        <v>0.6</v>
      </c>
      <c r="K119" s="3" t="s">
        <v>24</v>
      </c>
      <c r="L119" s="2">
        <f>IFERROR(IF('RAW DATA'!L119="",3,'RAW DATA'!L119),3)</f>
        <v>4</v>
      </c>
      <c r="M119" s="3" t="s">
        <v>25</v>
      </c>
      <c r="N119" s="3" t="s">
        <v>26</v>
      </c>
      <c r="O119" s="3">
        <v>1</v>
      </c>
      <c r="P119" s="3" t="s">
        <v>27</v>
      </c>
      <c r="Q119" s="10" t="s">
        <v>53</v>
      </c>
      <c r="R119" s="2" t="str">
        <f>IFERROR(TEXT('RAW DATA'!B119,"MMMM"),"UKNNOWN")</f>
        <v>July</v>
      </c>
      <c r="S119" s="5">
        <f>IFERROR(MONTH('RAW DATA'!B119),0)</f>
        <v>7</v>
      </c>
      <c r="T119" s="3" t="str">
        <f t="shared" si="2"/>
        <v>Q3</v>
      </c>
      <c r="U119" s="3" t="str">
        <f>IF('RAW DATA'!I119&gt;20,"High",IF('RAW DATA'!I119&gt;10,"Medium","Low"))</f>
        <v>Medium</v>
      </c>
      <c r="V119" s="3" t="str">
        <f>IF('RAW DATA'!B119="","Yes","No")</f>
        <v>No</v>
      </c>
      <c r="W119" s="2" t="str">
        <f>IF(COUNTIF(A$2:A418,A119)&gt;1,"Duplicate","OK")</f>
        <v>OK</v>
      </c>
      <c r="X119">
        <f t="shared" si="3"/>
        <v>4</v>
      </c>
    </row>
    <row r="120" spans="1:24" x14ac:dyDescent="0.25">
      <c r="A120" s="2" t="s">
        <v>290</v>
      </c>
      <c r="B120" s="2" t="s">
        <v>291</v>
      </c>
      <c r="C120" s="2" t="s">
        <v>85</v>
      </c>
      <c r="D120" s="2" t="str">
        <f>PROPER('RAW DATA'!D120)</f>
        <v>Irene Mutesi</v>
      </c>
      <c r="E120" s="2" t="s">
        <v>20</v>
      </c>
      <c r="F120" s="2" t="s">
        <v>21</v>
      </c>
      <c r="G120" s="2" t="s">
        <v>43</v>
      </c>
      <c r="H120" s="2" t="s">
        <v>58</v>
      </c>
      <c r="I120" s="5">
        <f>IFERROR(IF('RAW DATA'!I120="",AVERAGE('RAW DATA'!I$2:I$301),'RAW DATA'!I120),0)</f>
        <v>9</v>
      </c>
      <c r="J120" s="2">
        <v>6.8</v>
      </c>
      <c r="K120" s="2" t="s">
        <v>24</v>
      </c>
      <c r="L120" s="2">
        <f>IFERROR(IF('RAW DATA'!L120="",3,'RAW DATA'!L120),3)</f>
        <v>3</v>
      </c>
      <c r="M120" s="2" t="s">
        <v>90</v>
      </c>
      <c r="N120" s="2" t="s">
        <v>26</v>
      </c>
      <c r="O120" s="2">
        <v>1</v>
      </c>
      <c r="P120" s="2" t="s">
        <v>27</v>
      </c>
      <c r="Q120" s="9" t="s">
        <v>87</v>
      </c>
      <c r="R120" s="3" t="str">
        <f>IFERROR(TEXT('RAW DATA'!B120,"MMMM"),"UKNNOWN")</f>
        <v>October</v>
      </c>
      <c r="S120" s="5">
        <f>IFERROR(MONTH('RAW DATA'!B120),0)</f>
        <v>10</v>
      </c>
      <c r="T120" s="2" t="str">
        <f t="shared" si="2"/>
        <v>Q4</v>
      </c>
      <c r="U120" s="2" t="str">
        <f>IF('RAW DATA'!I120&gt;20,"High",IF('RAW DATA'!I120&gt;10,"Medium","Low"))</f>
        <v>Low</v>
      </c>
      <c r="V120" s="2" t="str">
        <f>IF('RAW DATA'!B120="","Yes","No")</f>
        <v>No</v>
      </c>
      <c r="W120" s="2" t="str">
        <f>IF(COUNTIF(A$2:A419,A120)&gt;1,"Duplicate","OK")</f>
        <v>OK</v>
      </c>
      <c r="X120">
        <f t="shared" si="3"/>
        <v>3</v>
      </c>
    </row>
    <row r="121" spans="1:24" x14ac:dyDescent="0.25">
      <c r="A121" s="3" t="s">
        <v>292</v>
      </c>
      <c r="B121" s="3" t="s">
        <v>205</v>
      </c>
      <c r="C121" s="3" t="s">
        <v>31</v>
      </c>
      <c r="D121" s="2" t="str">
        <f>PROPER('RAW DATA'!D121)</f>
        <v>David Habimana</v>
      </c>
      <c r="E121" s="3" t="s">
        <v>33</v>
      </c>
      <c r="F121" s="3" t="s">
        <v>34</v>
      </c>
      <c r="G121" s="3" t="s">
        <v>43</v>
      </c>
      <c r="H121" s="3" t="s">
        <v>23</v>
      </c>
      <c r="I121" s="5">
        <f>IFERROR(IF('RAW DATA'!I121="",AVERAGE('RAW DATA'!I$2:I$301),'RAW DATA'!I121),0)</f>
        <v>10</v>
      </c>
      <c r="J121" s="3">
        <v>0.4</v>
      </c>
      <c r="K121" s="3" t="s">
        <v>24</v>
      </c>
      <c r="L121" s="2">
        <f>IFERROR(IF('RAW DATA'!L121="",3,'RAW DATA'!L121),3)</f>
        <v>5</v>
      </c>
      <c r="M121" s="3" t="s">
        <v>81</v>
      </c>
      <c r="N121" s="3" t="s">
        <v>26</v>
      </c>
      <c r="O121" s="3">
        <v>0</v>
      </c>
      <c r="P121" s="3" t="s">
        <v>27</v>
      </c>
      <c r="Q121" s="10" t="s">
        <v>36</v>
      </c>
      <c r="R121" s="2" t="str">
        <f>IFERROR(TEXT('RAW DATA'!B121,"MMMM"),"UKNNOWN")</f>
        <v>October</v>
      </c>
      <c r="S121" s="5">
        <f>IFERROR(MONTH('RAW DATA'!B121),0)</f>
        <v>10</v>
      </c>
      <c r="T121" s="3" t="str">
        <f t="shared" si="2"/>
        <v>Q4</v>
      </c>
      <c r="U121" s="3" t="str">
        <f>IF('RAW DATA'!I121&gt;20,"High",IF('RAW DATA'!I121&gt;10,"Medium","Low"))</f>
        <v>Low</v>
      </c>
      <c r="V121" s="3" t="str">
        <f>IF('RAW DATA'!B121="","Yes","No")</f>
        <v>No</v>
      </c>
      <c r="W121" s="2" t="str">
        <f>IF(COUNTIF(A$2:A420,A121)&gt;1,"Duplicate","OK")</f>
        <v>OK</v>
      </c>
      <c r="X121">
        <f t="shared" si="3"/>
        <v>5</v>
      </c>
    </row>
    <row r="122" spans="1:24" x14ac:dyDescent="0.25">
      <c r="A122" s="2" t="s">
        <v>293</v>
      </c>
      <c r="B122" s="2" t="s">
        <v>168</v>
      </c>
      <c r="C122" s="2" t="s">
        <v>78</v>
      </c>
      <c r="D122" s="2" t="str">
        <f>PROPER('RAW DATA'!D122)</f>
        <v>Eve Ingabire</v>
      </c>
      <c r="E122" s="2" t="s">
        <v>20</v>
      </c>
      <c r="F122" s="2" t="s">
        <v>21</v>
      </c>
      <c r="G122" s="2" t="s">
        <v>43</v>
      </c>
      <c r="H122" s="2" t="s">
        <v>23</v>
      </c>
      <c r="I122" s="5">
        <f>IFERROR(IF('RAW DATA'!I122="",AVERAGE('RAW DATA'!I$2:I$301),'RAW DATA'!I122),0)</f>
        <v>10.5</v>
      </c>
      <c r="J122" s="2">
        <v>3.1</v>
      </c>
      <c r="K122" s="2" t="s">
        <v>24</v>
      </c>
      <c r="L122" s="2">
        <f>IFERROR(IF('RAW DATA'!L122="",3,'RAW DATA'!L122),3)</f>
        <v>3</v>
      </c>
      <c r="M122" s="2" t="s">
        <v>25</v>
      </c>
      <c r="N122" s="2" t="s">
        <v>26</v>
      </c>
      <c r="O122" s="2">
        <v>1</v>
      </c>
      <c r="P122" s="2" t="s">
        <v>45</v>
      </c>
      <c r="Q122" s="9" t="s">
        <v>82</v>
      </c>
      <c r="R122" s="3" t="str">
        <f>IFERROR(TEXT('RAW DATA'!B122,"MMMM"),"UKNNOWN")</f>
        <v>May</v>
      </c>
      <c r="S122" s="5">
        <f>IFERROR(MONTH('RAW DATA'!B122),0)</f>
        <v>5</v>
      </c>
      <c r="T122" s="2" t="str">
        <f t="shared" si="2"/>
        <v>Q2</v>
      </c>
      <c r="U122" s="2" t="str">
        <f>IF('RAW DATA'!I122&gt;20,"High",IF('RAW DATA'!I122&gt;10,"Medium","Low"))</f>
        <v>Medium</v>
      </c>
      <c r="V122" s="2" t="str">
        <f>IF('RAW DATA'!B122="","Yes","No")</f>
        <v>No</v>
      </c>
      <c r="W122" s="2" t="str">
        <f>IF(COUNTIF(A$2:A421,A122)&gt;1,"Duplicate","OK")</f>
        <v>OK</v>
      </c>
      <c r="X122">
        <f t="shared" si="3"/>
        <v>3</v>
      </c>
    </row>
    <row r="123" spans="1:24" x14ac:dyDescent="0.25">
      <c r="A123" s="3" t="s">
        <v>294</v>
      </c>
      <c r="B123" s="3" t="s">
        <v>295</v>
      </c>
      <c r="C123" s="3" t="s">
        <v>31</v>
      </c>
      <c r="D123" s="2" t="str">
        <f>PROPER('RAW DATA'!D123)</f>
        <v>David Habimana</v>
      </c>
      <c r="E123" s="3" t="s">
        <v>33</v>
      </c>
      <c r="F123" s="3" t="s">
        <v>34</v>
      </c>
      <c r="G123" s="3" t="s">
        <v>43</v>
      </c>
      <c r="H123" s="3" t="s">
        <v>65</v>
      </c>
      <c r="I123" s="5">
        <f>IFERROR(IF('RAW DATA'!I123="",AVERAGE('RAW DATA'!I$2:I$301),'RAW DATA'!I123),0)</f>
        <v>5.7</v>
      </c>
      <c r="J123" s="3">
        <v>5.5</v>
      </c>
      <c r="K123" s="3" t="s">
        <v>26</v>
      </c>
      <c r="L123" s="2">
        <f>IFERROR(IF('RAW DATA'!L123="",3,'RAW DATA'!L123),3)</f>
        <v>3</v>
      </c>
      <c r="M123" s="3" t="s">
        <v>51</v>
      </c>
      <c r="N123" s="3" t="s">
        <v>26</v>
      </c>
      <c r="O123" s="3">
        <v>0</v>
      </c>
      <c r="P123" s="3" t="s">
        <v>45</v>
      </c>
      <c r="Q123" s="10" t="s">
        <v>36</v>
      </c>
      <c r="R123" s="2" t="str">
        <f>IFERROR(TEXT('RAW DATA'!B123,"MMMM"),"UKNNOWN")</f>
        <v>September</v>
      </c>
      <c r="S123" s="5">
        <f>IFERROR(MONTH('RAW DATA'!B123),0)</f>
        <v>9</v>
      </c>
      <c r="T123" s="3" t="str">
        <f t="shared" si="2"/>
        <v>Q3</v>
      </c>
      <c r="U123" s="3" t="str">
        <f>IF('RAW DATA'!I123&gt;20,"High",IF('RAW DATA'!I123&gt;10,"Medium","Low"))</f>
        <v>Low</v>
      </c>
      <c r="V123" s="3" t="str">
        <f>IF('RAW DATA'!B123="","Yes","No")</f>
        <v>No</v>
      </c>
      <c r="W123" s="2" t="str">
        <f>IF(COUNTIF(A$2:A422,A123)&gt;1,"Duplicate","OK")</f>
        <v>OK</v>
      </c>
      <c r="X123">
        <f t="shared" si="3"/>
        <v>3</v>
      </c>
    </row>
    <row r="124" spans="1:24" x14ac:dyDescent="0.25">
      <c r="A124" s="2" t="s">
        <v>296</v>
      </c>
      <c r="B124" s="2" t="s">
        <v>177</v>
      </c>
      <c r="C124" s="2" t="s">
        <v>18</v>
      </c>
      <c r="D124" s="2" t="str">
        <f>PROPER('RAW DATA'!D124)</f>
        <v>Bob Nshimiyimana</v>
      </c>
      <c r="E124" s="2" t="s">
        <v>20</v>
      </c>
      <c r="F124" s="2" t="s">
        <v>21</v>
      </c>
      <c r="G124" s="2" t="s">
        <v>43</v>
      </c>
      <c r="H124" s="2" t="s">
        <v>72</v>
      </c>
      <c r="I124" s="5">
        <f>IFERROR(IF('RAW DATA'!I124="",AVERAGE('RAW DATA'!I$2:I$301),'RAW DATA'!I124),0)</f>
        <v>7.4</v>
      </c>
      <c r="J124" s="2">
        <v>6.9</v>
      </c>
      <c r="K124" s="2" t="s">
        <v>24</v>
      </c>
      <c r="L124" s="2">
        <f>IFERROR(IF('RAW DATA'!L124="",3,'RAW DATA'!L124),3)</f>
        <v>4</v>
      </c>
      <c r="M124" s="2" t="s">
        <v>51</v>
      </c>
      <c r="N124" s="2" t="s">
        <v>26</v>
      </c>
      <c r="O124" s="2">
        <v>1</v>
      </c>
      <c r="P124" s="2" t="s">
        <v>52</v>
      </c>
      <c r="Q124" s="9" t="s">
        <v>28</v>
      </c>
      <c r="R124" s="3" t="str">
        <f>IFERROR(TEXT('RAW DATA'!B124,"MMMM"),"UKNNOWN")</f>
        <v>January</v>
      </c>
      <c r="S124" s="5">
        <f>IFERROR(MONTH('RAW DATA'!B124),0)</f>
        <v>1</v>
      </c>
      <c r="T124" s="2" t="str">
        <f t="shared" si="2"/>
        <v>Q1</v>
      </c>
      <c r="U124" s="2" t="str">
        <f>IF('RAW DATA'!I124&gt;20,"High",IF('RAW DATA'!I124&gt;10,"Medium","Low"))</f>
        <v>Low</v>
      </c>
      <c r="V124" s="2" t="str">
        <f>IF('RAW DATA'!B124="","Yes","No")</f>
        <v>No</v>
      </c>
      <c r="W124" s="2" t="str">
        <f>IF(COUNTIF(A$2:A423,A124)&gt;1,"Duplicate","OK")</f>
        <v>OK</v>
      </c>
      <c r="X124">
        <f t="shared" si="3"/>
        <v>4</v>
      </c>
    </row>
    <row r="125" spans="1:24" x14ac:dyDescent="0.25">
      <c r="A125" s="3" t="s">
        <v>297</v>
      </c>
      <c r="B125" s="3" t="s">
        <v>298</v>
      </c>
      <c r="C125" s="3" t="s">
        <v>49</v>
      </c>
      <c r="D125" s="2" t="str">
        <f>PROPER('RAW DATA'!D125)</f>
        <v>Frank Nzeyimana</v>
      </c>
      <c r="E125" s="3" t="s">
        <v>41</v>
      </c>
      <c r="F125" s="3" t="s">
        <v>42</v>
      </c>
      <c r="G125" s="3" t="s">
        <v>43</v>
      </c>
      <c r="H125" s="3" t="s">
        <v>23</v>
      </c>
      <c r="I125" s="5">
        <f>IFERROR(IF('RAW DATA'!I125="",AVERAGE('RAW DATA'!I$2:I$301),'RAW DATA'!I125),0)</f>
        <v>5.8</v>
      </c>
      <c r="J125" s="3">
        <v>4.7</v>
      </c>
      <c r="K125" s="3" t="s">
        <v>24</v>
      </c>
      <c r="L125" s="2">
        <f>IFERROR(IF('RAW DATA'!L125="",3,'RAW DATA'!L125),3)</f>
        <v>5</v>
      </c>
      <c r="M125" s="3" t="s">
        <v>81</v>
      </c>
      <c r="N125" s="3" t="s">
        <v>26</v>
      </c>
      <c r="O125" s="3">
        <v>1</v>
      </c>
      <c r="P125" s="3" t="s">
        <v>27</v>
      </c>
      <c r="Q125" s="10" t="s">
        <v>53</v>
      </c>
      <c r="R125" s="2" t="str">
        <f>IFERROR(TEXT('RAW DATA'!B125,"MMMM"),"UKNNOWN")</f>
        <v>February</v>
      </c>
      <c r="S125" s="5">
        <f>IFERROR(MONTH('RAW DATA'!B125),0)</f>
        <v>2</v>
      </c>
      <c r="T125" s="3" t="str">
        <f t="shared" si="2"/>
        <v>Q1</v>
      </c>
      <c r="U125" s="3" t="str">
        <f>IF('RAW DATA'!I125&gt;20,"High",IF('RAW DATA'!I125&gt;10,"Medium","Low"))</f>
        <v>Low</v>
      </c>
      <c r="V125" s="3" t="str">
        <f>IF('RAW DATA'!B125="","Yes","No")</f>
        <v>No</v>
      </c>
      <c r="W125" s="2" t="str">
        <f>IF(COUNTIF(A$2:A424,A125)&gt;1,"Duplicate","OK")</f>
        <v>OK</v>
      </c>
      <c r="X125">
        <f t="shared" si="3"/>
        <v>5</v>
      </c>
    </row>
    <row r="126" spans="1:24" x14ac:dyDescent="0.25">
      <c r="A126" s="2" t="s">
        <v>299</v>
      </c>
      <c r="B126" s="2" t="s">
        <v>263</v>
      </c>
      <c r="C126" s="2" t="s">
        <v>56</v>
      </c>
      <c r="D126" s="2" t="str">
        <f>PROPER('RAW DATA'!D126)</f>
        <v>John Gasana</v>
      </c>
      <c r="E126" s="2" t="s">
        <v>41</v>
      </c>
      <c r="F126" s="2" t="s">
        <v>42</v>
      </c>
      <c r="G126" s="2" t="s">
        <v>43</v>
      </c>
      <c r="H126" s="2" t="s">
        <v>80</v>
      </c>
      <c r="I126" s="5">
        <f>IFERROR(IF('RAW DATA'!I126="",AVERAGE('RAW DATA'!I$2:I$301),'RAW DATA'!I126),0)</f>
        <v>9.9</v>
      </c>
      <c r="J126" s="2">
        <v>4.5</v>
      </c>
      <c r="K126" s="2" t="s">
        <v>24</v>
      </c>
      <c r="L126" s="2">
        <f>IFERROR(IF('RAW DATA'!L126="",3,'RAW DATA'!L126),3)</f>
        <v>5</v>
      </c>
      <c r="M126" s="2" t="s">
        <v>25</v>
      </c>
      <c r="N126" s="2" t="s">
        <v>26</v>
      </c>
      <c r="O126" s="2">
        <v>0</v>
      </c>
      <c r="P126" s="2" t="s">
        <v>66</v>
      </c>
      <c r="Q126" s="9" t="s">
        <v>60</v>
      </c>
      <c r="R126" s="3" t="str">
        <f>IFERROR(TEXT('RAW DATA'!B126,"MMMM"),"UKNNOWN")</f>
        <v>July</v>
      </c>
      <c r="S126" s="5">
        <f>IFERROR(MONTH('RAW DATA'!B126),0)</f>
        <v>7</v>
      </c>
      <c r="T126" s="2" t="str">
        <f t="shared" si="2"/>
        <v>Q3</v>
      </c>
      <c r="U126" s="2" t="str">
        <f>IF('RAW DATA'!I126&gt;20,"High",IF('RAW DATA'!I126&gt;10,"Medium","Low"))</f>
        <v>Low</v>
      </c>
      <c r="V126" s="2" t="str">
        <f>IF('RAW DATA'!B126="","Yes","No")</f>
        <v>No</v>
      </c>
      <c r="W126" s="2" t="str">
        <f>IF(COUNTIF(A$2:A425,A126)&gt;1,"Duplicate","OK")</f>
        <v>OK</v>
      </c>
      <c r="X126">
        <f t="shared" si="3"/>
        <v>5</v>
      </c>
    </row>
    <row r="127" spans="1:24" x14ac:dyDescent="0.25">
      <c r="A127" s="3" t="s">
        <v>300</v>
      </c>
      <c r="B127" s="3" t="s">
        <v>301</v>
      </c>
      <c r="C127" s="3" t="s">
        <v>63</v>
      </c>
      <c r="D127" s="2" t="str">
        <f>PROPER('RAW DATA'!D127)</f>
        <v>Henry Bizimana</v>
      </c>
      <c r="E127" s="3" t="s">
        <v>33</v>
      </c>
      <c r="F127" s="3" t="s">
        <v>34</v>
      </c>
      <c r="G127" s="3" t="s">
        <v>41</v>
      </c>
      <c r="H127" s="3" t="s">
        <v>80</v>
      </c>
      <c r="I127" s="5">
        <f>IFERROR(IF('RAW DATA'!I127="",AVERAGE('RAW DATA'!I$2:I$301),'RAW DATA'!I127),0)</f>
        <v>8</v>
      </c>
      <c r="J127" s="3">
        <v>2.8</v>
      </c>
      <c r="K127" s="3" t="s">
        <v>24</v>
      </c>
      <c r="L127" s="2">
        <f>IFERROR(IF('RAW DATA'!L127="",3,'RAW DATA'!L127),3)</f>
        <v>4</v>
      </c>
      <c r="M127" s="3" t="s">
        <v>25</v>
      </c>
      <c r="N127" s="3" t="s">
        <v>26</v>
      </c>
      <c r="O127" s="3">
        <v>0</v>
      </c>
      <c r="P127" s="3" t="s">
        <v>27</v>
      </c>
      <c r="Q127" s="10" t="s">
        <v>67</v>
      </c>
      <c r="R127" s="2" t="str">
        <f>IFERROR(TEXT('RAW DATA'!B127,"MMMM"),"UKNNOWN")</f>
        <v>January</v>
      </c>
      <c r="S127" s="5">
        <f>IFERROR(MONTH('RAW DATA'!B127),0)</f>
        <v>1</v>
      </c>
      <c r="T127" s="3" t="str">
        <f t="shared" si="2"/>
        <v>Q1</v>
      </c>
      <c r="U127" s="3" t="str">
        <f>IF('RAW DATA'!I127&gt;20,"High",IF('RAW DATA'!I127&gt;10,"Medium","Low"))</f>
        <v>Low</v>
      </c>
      <c r="V127" s="3" t="str">
        <f>IF('RAW DATA'!B127="","Yes","No")</f>
        <v>No</v>
      </c>
      <c r="W127" s="2" t="str">
        <f>IF(COUNTIF(A$2:A426,A127)&gt;1,"Duplicate","OK")</f>
        <v>OK</v>
      </c>
      <c r="X127">
        <f t="shared" si="3"/>
        <v>4</v>
      </c>
    </row>
    <row r="128" spans="1:24" x14ac:dyDescent="0.25">
      <c r="A128" s="2" t="s">
        <v>303</v>
      </c>
      <c r="B128" s="2" t="s">
        <v>304</v>
      </c>
      <c r="C128" s="2" t="s">
        <v>105</v>
      </c>
      <c r="D128" s="2" t="str">
        <f>PROPER('RAW DATA'!D128)</f>
        <v>Alice Uwimana</v>
      </c>
      <c r="E128" s="2" t="s">
        <v>20</v>
      </c>
      <c r="F128" s="2" t="s">
        <v>21</v>
      </c>
      <c r="G128" s="2" t="s">
        <v>22</v>
      </c>
      <c r="H128" s="2" t="s">
        <v>44</v>
      </c>
      <c r="I128" s="5">
        <f>IFERROR(IF('RAW DATA'!I128="",AVERAGE('RAW DATA'!I$2:I$301),'RAW DATA'!I128),0)</f>
        <v>4.9000000000000004</v>
      </c>
      <c r="J128" s="2">
        <v>4.9000000000000004</v>
      </c>
      <c r="K128" s="2" t="s">
        <v>26</v>
      </c>
      <c r="L128" s="2">
        <f>IFERROR(IF('RAW DATA'!L128="",3,'RAW DATA'!L128),3)</f>
        <v>2</v>
      </c>
      <c r="M128" s="2" t="s">
        <v>90</v>
      </c>
      <c r="N128" s="2" t="s">
        <v>24</v>
      </c>
      <c r="O128" s="2">
        <v>3</v>
      </c>
      <c r="P128" s="2" t="s">
        <v>27</v>
      </c>
      <c r="Q128" s="9" t="s">
        <v>107</v>
      </c>
      <c r="R128" s="3" t="str">
        <f>IFERROR(TEXT('RAW DATA'!B128,"MMMM"),"UKNNOWN")</f>
        <v>July</v>
      </c>
      <c r="S128" s="5">
        <f>IFERROR(MONTH('RAW DATA'!B128),0)</f>
        <v>7</v>
      </c>
      <c r="T128" s="2" t="str">
        <f t="shared" si="2"/>
        <v>Q3</v>
      </c>
      <c r="U128" s="2" t="str">
        <f>IF('RAW DATA'!I128&gt;20,"High",IF('RAW DATA'!I128&gt;10,"Medium","Low"))</f>
        <v>Low</v>
      </c>
      <c r="V128" s="2" t="str">
        <f>IF('RAW DATA'!B128="","Yes","No")</f>
        <v>No</v>
      </c>
      <c r="W128" s="2" t="str">
        <f>IF(COUNTIF(A$2:A427,A128)&gt;1,"Duplicate","OK")</f>
        <v>OK</v>
      </c>
      <c r="X128">
        <f t="shared" si="3"/>
        <v>2</v>
      </c>
    </row>
    <row r="129" spans="1:24" x14ac:dyDescent="0.25">
      <c r="A129" s="3" t="s">
        <v>305</v>
      </c>
      <c r="B129" s="3" t="s">
        <v>298</v>
      </c>
      <c r="C129" s="3" t="s">
        <v>39</v>
      </c>
      <c r="D129" s="2" t="str">
        <f>PROPER('RAW DATA'!D129)</f>
        <v>Grace Uwase</v>
      </c>
      <c r="E129" s="3" t="s">
        <v>41</v>
      </c>
      <c r="F129" s="3" t="s">
        <v>42</v>
      </c>
      <c r="G129" s="3" t="s">
        <v>43</v>
      </c>
      <c r="H129" s="3" t="s">
        <v>44</v>
      </c>
      <c r="I129" s="5">
        <f>IFERROR(IF('RAW DATA'!I129="",AVERAGE('RAW DATA'!I$2:I$301),'RAW DATA'!I129),0)</f>
        <v>10.6</v>
      </c>
      <c r="J129" s="3">
        <v>4.2</v>
      </c>
      <c r="K129" s="3" t="s">
        <v>24</v>
      </c>
      <c r="L129" s="2">
        <f>IFERROR(IF('RAW DATA'!L129="",3,'RAW DATA'!L129),3)</f>
        <v>5</v>
      </c>
      <c r="M129" s="3" t="s">
        <v>25</v>
      </c>
      <c r="N129" s="3" t="s">
        <v>26</v>
      </c>
      <c r="O129" s="3">
        <v>1</v>
      </c>
      <c r="P129" s="3" t="s">
        <v>66</v>
      </c>
      <c r="Q129" s="10" t="s">
        <v>46</v>
      </c>
      <c r="R129" s="2" t="str">
        <f>IFERROR(TEXT('RAW DATA'!B129,"MMMM"),"UKNNOWN")</f>
        <v>February</v>
      </c>
      <c r="S129" s="5">
        <f>IFERROR(MONTH('RAW DATA'!B129),0)</f>
        <v>2</v>
      </c>
      <c r="T129" s="3" t="str">
        <f t="shared" si="2"/>
        <v>Q1</v>
      </c>
      <c r="U129" s="3" t="str">
        <f>IF('RAW DATA'!I129&gt;20,"High",IF('RAW DATA'!I129&gt;10,"Medium","Low"))</f>
        <v>Medium</v>
      </c>
      <c r="V129" s="3" t="str">
        <f>IF('RAW DATA'!B129="","Yes","No")</f>
        <v>No</v>
      </c>
      <c r="W129" s="2" t="str">
        <f>IF(COUNTIF(A$2:A428,A129)&gt;1,"Duplicate","OK")</f>
        <v>OK</v>
      </c>
      <c r="X129">
        <f t="shared" si="3"/>
        <v>5</v>
      </c>
    </row>
    <row r="130" spans="1:24" x14ac:dyDescent="0.25">
      <c r="A130" s="2" t="s">
        <v>306</v>
      </c>
      <c r="B130" s="2" t="s">
        <v>307</v>
      </c>
      <c r="C130" s="2" t="s">
        <v>39</v>
      </c>
      <c r="D130" s="2" t="str">
        <f>PROPER('RAW DATA'!D130)</f>
        <v>Grace Uwase</v>
      </c>
      <c r="E130" s="2" t="s">
        <v>41</v>
      </c>
      <c r="F130" s="2" t="s">
        <v>42</v>
      </c>
      <c r="G130" s="2" t="s">
        <v>43</v>
      </c>
      <c r="H130" s="2" t="s">
        <v>80</v>
      </c>
      <c r="I130" s="5">
        <f>IFERROR(IF('RAW DATA'!I130="",AVERAGE('RAW DATA'!I$2:I$301),'RAW DATA'!I130),0)</f>
        <v>4.9000000000000004</v>
      </c>
      <c r="J130" s="2">
        <v>2.7</v>
      </c>
      <c r="K130" s="2" t="s">
        <v>24</v>
      </c>
      <c r="L130" s="2">
        <f>IFERROR(IF('RAW DATA'!L130="",3,'RAW DATA'!L130),3)</f>
        <v>4</v>
      </c>
      <c r="M130" s="2" t="s">
        <v>81</v>
      </c>
      <c r="N130" s="2" t="s">
        <v>26</v>
      </c>
      <c r="O130" s="2">
        <v>1</v>
      </c>
      <c r="P130" s="2" t="s">
        <v>66</v>
      </c>
      <c r="Q130" s="9" t="s">
        <v>46</v>
      </c>
      <c r="R130" s="3" t="str">
        <f>IFERROR(TEXT('RAW DATA'!B130,"MMMM"),"UKNNOWN")</f>
        <v>May</v>
      </c>
      <c r="S130" s="5">
        <f>IFERROR(MONTH('RAW DATA'!B130),0)</f>
        <v>5</v>
      </c>
      <c r="T130" s="2" t="str">
        <f t="shared" si="2"/>
        <v>Q2</v>
      </c>
      <c r="U130" s="2" t="str">
        <f>IF('RAW DATA'!I130&gt;20,"High",IF('RAW DATA'!I130&gt;10,"Medium","Low"))</f>
        <v>Low</v>
      </c>
      <c r="V130" s="2" t="str">
        <f>IF('RAW DATA'!B130="","Yes","No")</f>
        <v>No</v>
      </c>
      <c r="W130" s="2" t="str">
        <f>IF(COUNTIF(A$2:A429,A130)&gt;1,"Duplicate","OK")</f>
        <v>OK</v>
      </c>
      <c r="X130">
        <f t="shared" si="3"/>
        <v>4</v>
      </c>
    </row>
    <row r="131" spans="1:24" x14ac:dyDescent="0.25">
      <c r="A131" s="3" t="s">
        <v>308</v>
      </c>
      <c r="B131" s="3" t="s">
        <v>309</v>
      </c>
      <c r="C131" s="3" t="s">
        <v>85</v>
      </c>
      <c r="D131" s="2" t="str">
        <f>PROPER('RAW DATA'!D131)</f>
        <v>Irene Mutesi</v>
      </c>
      <c r="E131" s="3" t="s">
        <v>20</v>
      </c>
      <c r="F131" s="3" t="s">
        <v>21</v>
      </c>
      <c r="G131" s="3" t="s">
        <v>43</v>
      </c>
      <c r="H131" s="3" t="s">
        <v>65</v>
      </c>
      <c r="I131" s="5">
        <f>IFERROR(IF('RAW DATA'!I131="",AVERAGE('RAW DATA'!I$2:I$301),'RAW DATA'!I131),0)</f>
        <v>5.5</v>
      </c>
      <c r="J131" s="3">
        <v>2.2000000000000002</v>
      </c>
      <c r="K131" s="3" t="s">
        <v>26</v>
      </c>
      <c r="L131" s="2">
        <f>IFERROR(IF('RAW DATA'!L131="",3,'RAW DATA'!L131),3)</f>
        <v>3</v>
      </c>
      <c r="M131" s="3" t="s">
        <v>90</v>
      </c>
      <c r="N131" s="3" t="s">
        <v>24</v>
      </c>
      <c r="O131" s="3">
        <v>1</v>
      </c>
      <c r="P131" s="3" t="s">
        <v>13</v>
      </c>
      <c r="Q131" s="10" t="s">
        <v>87</v>
      </c>
      <c r="R131" s="2" t="str">
        <f>IFERROR(TEXT('RAW DATA'!B131,"MMMM"),"UKNNOWN")</f>
        <v>February</v>
      </c>
      <c r="S131" s="5">
        <f>IFERROR(MONTH('RAW DATA'!B131),0)</f>
        <v>2</v>
      </c>
      <c r="T131" s="3" t="str">
        <f t="shared" ref="T131:T194" si="4">IF(S131&lt;=3,"Q1",IF(S131&lt;=6,"Q2",IF(S131&lt;=9,"Q3","Q4")))</f>
        <v>Q1</v>
      </c>
      <c r="U131" s="3" t="str">
        <f>IF('RAW DATA'!I131&gt;20,"High",IF('RAW DATA'!I131&gt;10,"Medium","Low"))</f>
        <v>Low</v>
      </c>
      <c r="V131" s="3" t="str">
        <f>IF('RAW DATA'!B131="","Yes","No")</f>
        <v>No</v>
      </c>
      <c r="W131" s="2" t="str">
        <f>IF(COUNTIF(A$2:A430,A131)&gt;1,"Duplicate","OK")</f>
        <v>OK</v>
      </c>
      <c r="X131">
        <f t="shared" ref="X131:X194" si="5">IFERROR(L131,L132)</f>
        <v>3</v>
      </c>
    </row>
    <row r="132" spans="1:24" x14ac:dyDescent="0.25">
      <c r="A132" s="2" t="s">
        <v>310</v>
      </c>
      <c r="B132" s="2" t="s">
        <v>311</v>
      </c>
      <c r="C132" s="2" t="s">
        <v>70</v>
      </c>
      <c r="D132" s="2" t="str">
        <f>PROPER('RAW DATA'!D132)</f>
        <v>Claire Mukamana</v>
      </c>
      <c r="E132" s="2" t="s">
        <v>33</v>
      </c>
      <c r="F132" s="2" t="s">
        <v>34</v>
      </c>
      <c r="G132" s="2" t="s">
        <v>22</v>
      </c>
      <c r="H132" s="2" t="s">
        <v>95</v>
      </c>
      <c r="I132" s="5">
        <f>IFERROR(IF('RAW DATA'!I132="",AVERAGE('RAW DATA'!I$2:I$301),'RAW DATA'!I132),0)</f>
        <v>3.9</v>
      </c>
      <c r="J132" s="2">
        <v>2</v>
      </c>
      <c r="K132" s="2" t="s">
        <v>24</v>
      </c>
      <c r="L132" s="2">
        <f>IFERROR(IF('RAW DATA'!L132="",3,'RAW DATA'!L132),3)</f>
        <v>5</v>
      </c>
      <c r="M132" s="2" t="s">
        <v>51</v>
      </c>
      <c r="N132" s="2" t="s">
        <v>26</v>
      </c>
      <c r="O132" s="2">
        <v>0</v>
      </c>
      <c r="P132" s="2" t="s">
        <v>52</v>
      </c>
      <c r="Q132" s="9" t="s">
        <v>73</v>
      </c>
      <c r="R132" s="3" t="str">
        <f>IFERROR(TEXT('RAW DATA'!B132,"MMMM"),"UKNNOWN")</f>
        <v>April</v>
      </c>
      <c r="S132" s="5">
        <f>IFERROR(MONTH('RAW DATA'!B132),0)</f>
        <v>4</v>
      </c>
      <c r="T132" s="2" t="str">
        <f t="shared" si="4"/>
        <v>Q2</v>
      </c>
      <c r="U132" s="2" t="str">
        <f>IF('RAW DATA'!I132&gt;20,"High",IF('RAW DATA'!I132&gt;10,"Medium","Low"))</f>
        <v>Low</v>
      </c>
      <c r="V132" s="2" t="str">
        <f>IF('RAW DATA'!B132="","Yes","No")</f>
        <v>No</v>
      </c>
      <c r="W132" s="2" t="str">
        <f>IF(COUNTIF(A$2:A431,A132)&gt;1,"Duplicate","OK")</f>
        <v>OK</v>
      </c>
      <c r="X132">
        <f t="shared" si="5"/>
        <v>5</v>
      </c>
    </row>
    <row r="133" spans="1:24" x14ac:dyDescent="0.25">
      <c r="A133" s="3" t="s">
        <v>312</v>
      </c>
      <c r="B133" s="3" t="s">
        <v>313</v>
      </c>
      <c r="C133" s="3" t="s">
        <v>56</v>
      </c>
      <c r="D133" s="2" t="str">
        <f>PROPER('RAW DATA'!D133)</f>
        <v>John Gasana</v>
      </c>
      <c r="E133" s="3" t="s">
        <v>41</v>
      </c>
      <c r="F133" s="3" t="s">
        <v>42</v>
      </c>
      <c r="G133" s="3" t="s">
        <v>22</v>
      </c>
      <c r="H133" s="3" t="s">
        <v>95</v>
      </c>
      <c r="I133" s="5">
        <f>IFERROR(IF('RAW DATA'!I133="",AVERAGE('RAW DATA'!I$2:I$301),'RAW DATA'!I133),0)</f>
        <v>4.5</v>
      </c>
      <c r="J133" s="3">
        <v>8.8000000000000007</v>
      </c>
      <c r="K133" s="3" t="s">
        <v>24</v>
      </c>
      <c r="L133" s="2">
        <f>IFERROR(IF('RAW DATA'!L133="",3,'RAW DATA'!L133),3)</f>
        <v>4</v>
      </c>
      <c r="M133" s="3" t="s">
        <v>90</v>
      </c>
      <c r="N133" s="3" t="s">
        <v>26</v>
      </c>
      <c r="O133" s="3">
        <v>1</v>
      </c>
      <c r="P133" s="3" t="s">
        <v>45</v>
      </c>
      <c r="Q133" s="10" t="s">
        <v>60</v>
      </c>
      <c r="R133" s="2" t="str">
        <f>IFERROR(TEXT('RAW DATA'!B133,"MMMM"),"UKNNOWN")</f>
        <v>November</v>
      </c>
      <c r="S133" s="5">
        <f>IFERROR(MONTH('RAW DATA'!B133),0)</f>
        <v>11</v>
      </c>
      <c r="T133" s="3" t="str">
        <f t="shared" si="4"/>
        <v>Q4</v>
      </c>
      <c r="U133" s="3" t="str">
        <f>IF('RAW DATA'!I133&gt;20,"High",IF('RAW DATA'!I133&gt;10,"Medium","Low"))</f>
        <v>Low</v>
      </c>
      <c r="V133" s="3" t="str">
        <f>IF('RAW DATA'!B133="","Yes","No")</f>
        <v>No</v>
      </c>
      <c r="W133" s="2" t="str">
        <f>IF(COUNTIF(A$2:A432,A133)&gt;1,"Duplicate","OK")</f>
        <v>OK</v>
      </c>
      <c r="X133">
        <f t="shared" si="5"/>
        <v>4</v>
      </c>
    </row>
    <row r="134" spans="1:24" x14ac:dyDescent="0.25">
      <c r="A134" s="2" t="s">
        <v>314</v>
      </c>
      <c r="B134" s="2" t="s">
        <v>315</v>
      </c>
      <c r="C134" s="2" t="s">
        <v>56</v>
      </c>
      <c r="D134" s="2" t="str">
        <f>PROPER('RAW DATA'!D134)</f>
        <v>John Gasana</v>
      </c>
      <c r="E134" s="2" t="s">
        <v>41</v>
      </c>
      <c r="F134" s="2" t="s">
        <v>42</v>
      </c>
      <c r="G134" s="2" t="s">
        <v>43</v>
      </c>
      <c r="H134" s="2" t="s">
        <v>80</v>
      </c>
      <c r="I134" s="5">
        <f>IFERROR(IF('RAW DATA'!I134="",AVERAGE('RAW DATA'!I$2:I$301),'RAW DATA'!I134),0)</f>
        <v>11.3</v>
      </c>
      <c r="J134" s="2">
        <v>4.8</v>
      </c>
      <c r="K134" s="2" t="s">
        <v>24</v>
      </c>
      <c r="L134" s="2">
        <f>IFERROR(IF('RAW DATA'!L134="",3,'RAW DATA'!L134),3)</f>
        <v>4</v>
      </c>
      <c r="M134" s="2" t="s">
        <v>90</v>
      </c>
      <c r="N134" s="2" t="s">
        <v>26</v>
      </c>
      <c r="O134" s="2">
        <v>1</v>
      </c>
      <c r="P134" s="2" t="s">
        <v>45</v>
      </c>
      <c r="Q134" s="9" t="s">
        <v>60</v>
      </c>
      <c r="R134" s="3" t="str">
        <f>IFERROR(TEXT('RAW DATA'!B134,"MMMM"),"UKNNOWN")</f>
        <v>May</v>
      </c>
      <c r="S134" s="5">
        <f>IFERROR(MONTH('RAW DATA'!B134),0)</f>
        <v>5</v>
      </c>
      <c r="T134" s="2" t="str">
        <f t="shared" si="4"/>
        <v>Q2</v>
      </c>
      <c r="U134" s="2" t="str">
        <f>IF('RAW DATA'!I134&gt;20,"High",IF('RAW DATA'!I134&gt;10,"Medium","Low"))</f>
        <v>Medium</v>
      </c>
      <c r="V134" s="2" t="str">
        <f>IF('RAW DATA'!B134="","Yes","No")</f>
        <v>No</v>
      </c>
      <c r="W134" s="2" t="str">
        <f>IF(COUNTIF(A$2:A433,A134)&gt;1,"Duplicate","OK")</f>
        <v>OK</v>
      </c>
      <c r="X134">
        <f t="shared" si="5"/>
        <v>4</v>
      </c>
    </row>
    <row r="135" spans="1:24" x14ac:dyDescent="0.25">
      <c r="A135" s="3" t="s">
        <v>316</v>
      </c>
      <c r="B135" s="3" t="s">
        <v>309</v>
      </c>
      <c r="C135" s="3" t="s">
        <v>18</v>
      </c>
      <c r="D135" s="2" t="str">
        <f>PROPER('RAW DATA'!D135)</f>
        <v>Bob Nshimiyimana</v>
      </c>
      <c r="E135" s="3" t="s">
        <v>20</v>
      </c>
      <c r="F135" s="3" t="s">
        <v>21</v>
      </c>
      <c r="G135" s="3" t="s">
        <v>41</v>
      </c>
      <c r="H135" s="3" t="s">
        <v>72</v>
      </c>
      <c r="I135" s="5">
        <f>IFERROR(IF('RAW DATA'!I135="",AVERAGE('RAW DATA'!I$2:I$301),'RAW DATA'!I135),0)</f>
        <v>5.3</v>
      </c>
      <c r="J135" s="3">
        <v>2.4</v>
      </c>
      <c r="K135" s="3" t="s">
        <v>24</v>
      </c>
      <c r="L135" s="2">
        <f>IFERROR(IF('RAW DATA'!L135="",3,'RAW DATA'!L135),3)</f>
        <v>4</v>
      </c>
      <c r="M135" s="3" t="s">
        <v>90</v>
      </c>
      <c r="N135" s="3" t="s">
        <v>26</v>
      </c>
      <c r="O135" s="3">
        <v>0</v>
      </c>
      <c r="P135" s="3" t="s">
        <v>52</v>
      </c>
      <c r="Q135" s="10" t="s">
        <v>28</v>
      </c>
      <c r="R135" s="2" t="str">
        <f>IFERROR(TEXT('RAW DATA'!B135,"MMMM"),"UKNNOWN")</f>
        <v>February</v>
      </c>
      <c r="S135" s="5">
        <f>IFERROR(MONTH('RAW DATA'!B135),0)</f>
        <v>2</v>
      </c>
      <c r="T135" s="3" t="str">
        <f t="shared" si="4"/>
        <v>Q1</v>
      </c>
      <c r="U135" s="3" t="str">
        <f>IF('RAW DATA'!I135&gt;20,"High",IF('RAW DATA'!I135&gt;10,"Medium","Low"))</f>
        <v>Low</v>
      </c>
      <c r="V135" s="3" t="str">
        <f>IF('RAW DATA'!B135="","Yes","No")</f>
        <v>No</v>
      </c>
      <c r="W135" s="2" t="str">
        <f>IF(COUNTIF(A$2:A434,A135)&gt;1,"Duplicate","OK")</f>
        <v>OK</v>
      </c>
      <c r="X135">
        <f t="shared" si="5"/>
        <v>4</v>
      </c>
    </row>
    <row r="136" spans="1:24" x14ac:dyDescent="0.25">
      <c r="A136" s="2" t="s">
        <v>317</v>
      </c>
      <c r="B136" s="2" t="s">
        <v>318</v>
      </c>
      <c r="C136" s="2" t="s">
        <v>63</v>
      </c>
      <c r="D136" s="2" t="str">
        <f>PROPER('RAW DATA'!D136)</f>
        <v>Henry Bizimana</v>
      </c>
      <c r="E136" s="2" t="s">
        <v>33</v>
      </c>
      <c r="F136" s="2" t="s">
        <v>34</v>
      </c>
      <c r="G136" s="2" t="s">
        <v>41</v>
      </c>
      <c r="H136" s="2" t="s">
        <v>65</v>
      </c>
      <c r="I136" s="5">
        <f>IFERROR(IF('RAW DATA'!I136="",AVERAGE('RAW DATA'!I$2:I$301),'RAW DATA'!I136),0)</f>
        <v>1</v>
      </c>
      <c r="J136" s="2">
        <v>4</v>
      </c>
      <c r="K136" s="2" t="s">
        <v>24</v>
      </c>
      <c r="L136" s="2">
        <f>IFERROR(IF('RAW DATA'!L136="",3,'RAW DATA'!L136),3)</f>
        <v>4</v>
      </c>
      <c r="M136" s="2" t="s">
        <v>25</v>
      </c>
      <c r="N136" s="2" t="s">
        <v>26</v>
      </c>
      <c r="O136" s="2">
        <v>1</v>
      </c>
      <c r="P136" s="2" t="s">
        <v>45</v>
      </c>
      <c r="Q136" s="9" t="s">
        <v>67</v>
      </c>
      <c r="R136" s="3" t="str">
        <f>IFERROR(TEXT('RAW DATA'!B136,"MMMM"),"UKNNOWN")</f>
        <v>November</v>
      </c>
      <c r="S136" s="5">
        <f>IFERROR(MONTH('RAW DATA'!B136),0)</f>
        <v>11</v>
      </c>
      <c r="T136" s="2" t="str">
        <f t="shared" si="4"/>
        <v>Q4</v>
      </c>
      <c r="U136" s="2" t="str">
        <f>IF('RAW DATA'!I136&gt;20,"High",IF('RAW DATA'!I136&gt;10,"Medium","Low"))</f>
        <v>Low</v>
      </c>
      <c r="V136" s="2" t="str">
        <f>IF('RAW DATA'!B136="","Yes","No")</f>
        <v>No</v>
      </c>
      <c r="W136" s="2" t="str">
        <f>IF(COUNTIF(A$2:A435,A136)&gt;1,"Duplicate","OK")</f>
        <v>OK</v>
      </c>
      <c r="X136">
        <f t="shared" si="5"/>
        <v>4</v>
      </c>
    </row>
    <row r="137" spans="1:24" x14ac:dyDescent="0.25">
      <c r="A137" s="3" t="s">
        <v>319</v>
      </c>
      <c r="B137" s="3" t="s">
        <v>102</v>
      </c>
      <c r="C137" s="3" t="s">
        <v>63</v>
      </c>
      <c r="D137" s="2" t="str">
        <f>PROPER('RAW DATA'!D137)</f>
        <v>Henry Bizimana</v>
      </c>
      <c r="E137" s="3" t="s">
        <v>33</v>
      </c>
      <c r="F137" s="3" t="s">
        <v>34</v>
      </c>
      <c r="G137" s="3" t="s">
        <v>43</v>
      </c>
      <c r="H137" s="3" t="s">
        <v>44</v>
      </c>
      <c r="I137" s="5">
        <f>IFERROR(IF('RAW DATA'!I137="",AVERAGE('RAW DATA'!I$2:I$301),'RAW DATA'!I137),0)</f>
        <v>11.6</v>
      </c>
      <c r="J137" s="3">
        <v>3.9</v>
      </c>
      <c r="K137" s="3" t="s">
        <v>24</v>
      </c>
      <c r="L137" s="2">
        <f>IFERROR(IF('RAW DATA'!L137="",3,'RAW DATA'!L137),3)</f>
        <v>4</v>
      </c>
      <c r="M137" s="3" t="s">
        <v>59</v>
      </c>
      <c r="N137" s="3" t="s">
        <v>26</v>
      </c>
      <c r="O137" s="3">
        <v>1</v>
      </c>
      <c r="P137" s="3" t="s">
        <v>66</v>
      </c>
      <c r="Q137" s="10" t="s">
        <v>67</v>
      </c>
      <c r="R137" s="2" t="str">
        <f>IFERROR(TEXT('RAW DATA'!B137,"MMMM"),"UKNNOWN")</f>
        <v>May</v>
      </c>
      <c r="S137" s="5">
        <f>IFERROR(MONTH('RAW DATA'!B137),0)</f>
        <v>5</v>
      </c>
      <c r="T137" s="3" t="str">
        <f t="shared" si="4"/>
        <v>Q2</v>
      </c>
      <c r="U137" s="3" t="str">
        <f>IF('RAW DATA'!I137&gt;20,"High",IF('RAW DATA'!I137&gt;10,"Medium","Low"))</f>
        <v>Medium</v>
      </c>
      <c r="V137" s="3" t="str">
        <f>IF('RAW DATA'!B137="","Yes","No")</f>
        <v>No</v>
      </c>
      <c r="W137" s="2" t="str">
        <f>IF(COUNTIF(A$2:A436,A137)&gt;1,"Duplicate","OK")</f>
        <v>OK</v>
      </c>
      <c r="X137">
        <f t="shared" si="5"/>
        <v>4</v>
      </c>
    </row>
    <row r="138" spans="1:24" x14ac:dyDescent="0.25">
      <c r="A138" s="2" t="s">
        <v>320</v>
      </c>
      <c r="B138" s="2" t="s">
        <v>287</v>
      </c>
      <c r="C138" s="2" t="s">
        <v>56</v>
      </c>
      <c r="D138" s="2" t="str">
        <f>PROPER('RAW DATA'!D138)</f>
        <v>John Gasana</v>
      </c>
      <c r="E138" s="2" t="s">
        <v>41</v>
      </c>
      <c r="F138" s="2" t="s">
        <v>42</v>
      </c>
      <c r="G138" s="2" t="s">
        <v>43</v>
      </c>
      <c r="H138" s="2" t="s">
        <v>65</v>
      </c>
      <c r="I138" s="5">
        <f>IFERROR(IF('RAW DATA'!I138="",AVERAGE('RAW DATA'!I$2:I$301),'RAW DATA'!I138),0)</f>
        <v>12</v>
      </c>
      <c r="J138" s="2">
        <v>4.9000000000000004</v>
      </c>
      <c r="K138" s="2" t="s">
        <v>26</v>
      </c>
      <c r="L138" s="2">
        <f>IFERROR(IF('RAW DATA'!L138="",3,'RAW DATA'!L138),3)</f>
        <v>4</v>
      </c>
      <c r="M138" s="2" t="s">
        <v>90</v>
      </c>
      <c r="N138" s="2" t="s">
        <v>24</v>
      </c>
      <c r="O138" s="2">
        <v>3</v>
      </c>
      <c r="P138" s="2" t="s">
        <v>66</v>
      </c>
      <c r="Q138" s="9" t="s">
        <v>60</v>
      </c>
      <c r="R138" s="3" t="str">
        <f>IFERROR(TEXT('RAW DATA'!B138,"MMMM"),"UKNNOWN")</f>
        <v>June</v>
      </c>
      <c r="S138" s="5">
        <f>IFERROR(MONTH('RAW DATA'!B138),0)</f>
        <v>6</v>
      </c>
      <c r="T138" s="2" t="str">
        <f t="shared" si="4"/>
        <v>Q2</v>
      </c>
      <c r="U138" s="2" t="str">
        <f>IF('RAW DATA'!I138&gt;20,"High",IF('RAW DATA'!I138&gt;10,"Medium","Low"))</f>
        <v>Medium</v>
      </c>
      <c r="V138" s="2" t="str">
        <f>IF('RAW DATA'!B138="","Yes","No")</f>
        <v>No</v>
      </c>
      <c r="W138" s="2" t="str">
        <f>IF(COUNTIF(A$2:A437,A138)&gt;1,"Duplicate","OK")</f>
        <v>OK</v>
      </c>
      <c r="X138">
        <f t="shared" si="5"/>
        <v>4</v>
      </c>
    </row>
    <row r="139" spans="1:24" x14ac:dyDescent="0.25">
      <c r="A139" s="3" t="s">
        <v>321</v>
      </c>
      <c r="B139" s="3" t="s">
        <v>218</v>
      </c>
      <c r="C139" s="3" t="s">
        <v>56</v>
      </c>
      <c r="D139" s="2" t="str">
        <f>PROPER('RAW DATA'!D139)</f>
        <v>John Gasana</v>
      </c>
      <c r="E139" s="3" t="s">
        <v>41</v>
      </c>
      <c r="F139" s="3" t="s">
        <v>42</v>
      </c>
      <c r="G139" s="3" t="s">
        <v>41</v>
      </c>
      <c r="H139" s="3" t="s">
        <v>58</v>
      </c>
      <c r="I139" s="5">
        <f>IFERROR(IF('RAW DATA'!I139="",AVERAGE('RAW DATA'!I$2:I$301),'RAW DATA'!I139),0)</f>
        <v>4.5</v>
      </c>
      <c r="J139" s="3">
        <v>0.2</v>
      </c>
      <c r="K139" s="3" t="s">
        <v>24</v>
      </c>
      <c r="L139" s="2">
        <f>IFERROR(IF('RAW DATA'!L139="",3,'RAW DATA'!L139),3)</f>
        <v>4</v>
      </c>
      <c r="M139" s="3" t="s">
        <v>90</v>
      </c>
      <c r="N139" s="3" t="s">
        <v>26</v>
      </c>
      <c r="O139" s="3">
        <v>1</v>
      </c>
      <c r="P139" s="3" t="s">
        <v>13</v>
      </c>
      <c r="Q139" s="10" t="s">
        <v>60</v>
      </c>
      <c r="R139" s="3" t="str">
        <f>IFERROR(TEXT('RAW DATA'!B139,"MMMM"),"UKNNOWN")</f>
        <v>February</v>
      </c>
      <c r="S139" s="5">
        <f>IFERROR(MONTH('RAW DATA'!B139),0)</f>
        <v>2</v>
      </c>
      <c r="T139" s="3" t="str">
        <f t="shared" si="4"/>
        <v>Q1</v>
      </c>
      <c r="U139" s="3" t="str">
        <f>IF('RAW DATA'!I139&gt;20,"High",IF('RAW DATA'!I139&gt;10,"Medium","Low"))</f>
        <v>Low</v>
      </c>
      <c r="V139" s="3" t="str">
        <f>IF('RAW DATA'!B139="","Yes","No")</f>
        <v>No</v>
      </c>
      <c r="W139" s="2" t="str">
        <f>IF(COUNTIF(A$2:A438,A139)&gt;1,"Duplicate","OK")</f>
        <v>OK</v>
      </c>
      <c r="X139">
        <f t="shared" si="5"/>
        <v>4</v>
      </c>
    </row>
    <row r="140" spans="1:24" x14ac:dyDescent="0.25">
      <c r="A140" s="2" t="s">
        <v>322</v>
      </c>
      <c r="B140" s="2" t="s">
        <v>323</v>
      </c>
      <c r="C140" s="2" t="s">
        <v>39</v>
      </c>
      <c r="D140" s="2" t="str">
        <f>PROPER('RAW DATA'!D140)</f>
        <v>Grace Uwase</v>
      </c>
      <c r="E140" s="2" t="s">
        <v>41</v>
      </c>
      <c r="F140" s="2" t="s">
        <v>42</v>
      </c>
      <c r="G140" s="2" t="s">
        <v>41</v>
      </c>
      <c r="H140" s="2" t="s">
        <v>80</v>
      </c>
      <c r="I140" s="5">
        <f>IFERROR(IF('RAW DATA'!I140="",AVERAGE('RAW DATA'!I$2:I$301),'RAW DATA'!I140),0)</f>
        <v>6.3</v>
      </c>
      <c r="J140" s="2">
        <v>2.6</v>
      </c>
      <c r="K140" s="2" t="s">
        <v>26</v>
      </c>
      <c r="L140" s="2">
        <f>IFERROR(IF('RAW DATA'!L140="",3,'RAW DATA'!L140),3)</f>
        <v>2</v>
      </c>
      <c r="M140" s="2" t="s">
        <v>25</v>
      </c>
      <c r="N140" s="2" t="s">
        <v>26</v>
      </c>
      <c r="O140" s="2">
        <v>0</v>
      </c>
      <c r="P140" s="2" t="s">
        <v>52</v>
      </c>
      <c r="Q140" s="9" t="s">
        <v>46</v>
      </c>
      <c r="R140" s="2" t="str">
        <f>IFERROR(TEXT('RAW DATA'!B140,"MMMM"),"UKNNOWN")</f>
        <v>October</v>
      </c>
      <c r="S140" s="5">
        <f>IFERROR(MONTH('RAW DATA'!B140),0)</f>
        <v>10</v>
      </c>
      <c r="T140" s="2" t="str">
        <f t="shared" si="4"/>
        <v>Q4</v>
      </c>
      <c r="U140" s="2" t="str">
        <f>IF('RAW DATA'!I140&gt;20,"High",IF('RAW DATA'!I140&gt;10,"Medium","Low"))</f>
        <v>Low</v>
      </c>
      <c r="V140" s="2" t="str">
        <f>IF('RAW DATA'!B140="","Yes","No")</f>
        <v>No</v>
      </c>
      <c r="W140" s="2" t="str">
        <f>IF(COUNTIF(A$2:A439,A140)&gt;1,"Duplicate","OK")</f>
        <v>OK</v>
      </c>
      <c r="X140">
        <f t="shared" si="5"/>
        <v>2</v>
      </c>
    </row>
    <row r="141" spans="1:24" x14ac:dyDescent="0.25">
      <c r="A141" s="3" t="s">
        <v>324</v>
      </c>
      <c r="B141" s="3" t="s">
        <v>55</v>
      </c>
      <c r="C141" s="3" t="s">
        <v>78</v>
      </c>
      <c r="D141" s="2" t="str">
        <f>PROPER('RAW DATA'!D141)</f>
        <v>Eve Ingabire</v>
      </c>
      <c r="E141" s="3" t="s">
        <v>20</v>
      </c>
      <c r="F141" s="3" t="s">
        <v>21</v>
      </c>
      <c r="G141" s="3" t="s">
        <v>43</v>
      </c>
      <c r="H141" s="3" t="s">
        <v>65</v>
      </c>
      <c r="I141" s="5">
        <f>IFERROR(IF('RAW DATA'!I141="",AVERAGE('RAW DATA'!I$2:I$301),'RAW DATA'!I141),0)</f>
        <v>8.9</v>
      </c>
      <c r="J141" s="3">
        <v>5.3</v>
      </c>
      <c r="K141" s="3" t="s">
        <v>24</v>
      </c>
      <c r="L141" s="2">
        <f>IFERROR(IF('RAW DATA'!L141="",3,'RAW DATA'!L141),3)</f>
        <v>5</v>
      </c>
      <c r="M141" s="3" t="s">
        <v>81</v>
      </c>
      <c r="N141" s="3" t="s">
        <v>26</v>
      </c>
      <c r="O141" s="3">
        <v>1</v>
      </c>
      <c r="P141" s="3" t="s">
        <v>13</v>
      </c>
      <c r="Q141" s="10" t="s">
        <v>82</v>
      </c>
      <c r="R141" s="3" t="str">
        <f>IFERROR(TEXT('RAW DATA'!B141,"MMMM"),"UKNNOWN")</f>
        <v>July</v>
      </c>
      <c r="S141" s="5">
        <f>IFERROR(MONTH('RAW DATA'!B141),0)</f>
        <v>7</v>
      </c>
      <c r="T141" s="3" t="str">
        <f t="shared" si="4"/>
        <v>Q3</v>
      </c>
      <c r="U141" s="3" t="str">
        <f>IF('RAW DATA'!I141&gt;20,"High",IF('RAW DATA'!I141&gt;10,"Medium","Low"))</f>
        <v>Low</v>
      </c>
      <c r="V141" s="3" t="str">
        <f>IF('RAW DATA'!B141="","Yes","No")</f>
        <v>No</v>
      </c>
      <c r="W141" s="2" t="str">
        <f>IF(COUNTIF(A$2:A440,A141)&gt;1,"Duplicate","OK")</f>
        <v>OK</v>
      </c>
      <c r="X141">
        <f t="shared" si="5"/>
        <v>5</v>
      </c>
    </row>
    <row r="142" spans="1:24" x14ac:dyDescent="0.25">
      <c r="A142" s="2" t="s">
        <v>325</v>
      </c>
      <c r="B142" s="2" t="s">
        <v>309</v>
      </c>
      <c r="C142" s="2" t="s">
        <v>78</v>
      </c>
      <c r="D142" s="2" t="str">
        <f>PROPER('RAW DATA'!D142)</f>
        <v>Eve Ingabire</v>
      </c>
      <c r="E142" s="2" t="s">
        <v>20</v>
      </c>
      <c r="F142" s="2" t="s">
        <v>21</v>
      </c>
      <c r="G142" s="2" t="s">
        <v>41</v>
      </c>
      <c r="H142" s="2" t="s">
        <v>65</v>
      </c>
      <c r="I142" s="5">
        <f>IFERROR(IF('RAW DATA'!I142="",AVERAGE('RAW DATA'!I$2:I$301),'RAW DATA'!I142),0)</f>
        <v>7.6041237113402103</v>
      </c>
      <c r="J142" s="2">
        <v>3.2</v>
      </c>
      <c r="K142" s="2" t="s">
        <v>24</v>
      </c>
      <c r="L142" s="2">
        <f>IFERROR(IF('RAW DATA'!L142="",3,'RAW DATA'!L142),3)</f>
        <v>5</v>
      </c>
      <c r="M142" s="2" t="s">
        <v>51</v>
      </c>
      <c r="N142" s="2" t="s">
        <v>26</v>
      </c>
      <c r="O142" s="2">
        <v>0</v>
      </c>
      <c r="P142" s="2" t="s">
        <v>66</v>
      </c>
      <c r="Q142" s="9" t="s">
        <v>82</v>
      </c>
      <c r="R142" s="2" t="str">
        <f>IFERROR(TEXT('RAW DATA'!B142,"MMMM"),"UKNNOWN")</f>
        <v>February</v>
      </c>
      <c r="S142" s="5">
        <f>IFERROR(MONTH('RAW DATA'!B142),0)</f>
        <v>2</v>
      </c>
      <c r="T142" s="2" t="str">
        <f t="shared" si="4"/>
        <v>Q1</v>
      </c>
      <c r="U142" s="2" t="str">
        <f>IF('RAW DATA'!I142&gt;20,"High",IF('RAW DATA'!I142&gt;10,"Medium","Low"))</f>
        <v>Low</v>
      </c>
      <c r="V142" s="2" t="str">
        <f>IF('RAW DATA'!B142="","Yes","No")</f>
        <v>No</v>
      </c>
      <c r="W142" s="2" t="str">
        <f>IF(COUNTIF(A$2:A441,A142)&gt;1,"Duplicate","OK")</f>
        <v>OK</v>
      </c>
      <c r="X142">
        <f t="shared" si="5"/>
        <v>5</v>
      </c>
    </row>
    <row r="143" spans="1:24" x14ac:dyDescent="0.25">
      <c r="A143" s="3" t="s">
        <v>326</v>
      </c>
      <c r="B143" s="3" t="s">
        <v>327</v>
      </c>
      <c r="C143" s="3" t="s">
        <v>70</v>
      </c>
      <c r="D143" s="2" t="str">
        <f>PROPER('RAW DATA'!D143)</f>
        <v>Claire Mukamana</v>
      </c>
      <c r="E143" s="3" t="s">
        <v>33</v>
      </c>
      <c r="F143" s="3" t="s">
        <v>34</v>
      </c>
      <c r="G143" s="3" t="s">
        <v>43</v>
      </c>
      <c r="H143" s="3" t="s">
        <v>44</v>
      </c>
      <c r="I143" s="5">
        <f>IFERROR(IF('RAW DATA'!I143="",AVERAGE('RAW DATA'!I$2:I$301),'RAW DATA'!I143),0)</f>
        <v>11</v>
      </c>
      <c r="J143" s="3">
        <v>7.2</v>
      </c>
      <c r="K143" s="3" t="s">
        <v>24</v>
      </c>
      <c r="L143" s="2">
        <f>IFERROR(IF('RAW DATA'!L143="",3,'RAW DATA'!L143),3)</f>
        <v>5</v>
      </c>
      <c r="M143" s="3" t="s">
        <v>90</v>
      </c>
      <c r="N143" s="3" t="s">
        <v>26</v>
      </c>
      <c r="O143" s="3">
        <v>0</v>
      </c>
      <c r="P143" s="3" t="s">
        <v>52</v>
      </c>
      <c r="Q143" s="10" t="s">
        <v>73</v>
      </c>
      <c r="R143" s="3" t="str">
        <f>IFERROR(TEXT('RAW DATA'!B143,"MMMM"),"UKNNOWN")</f>
        <v>July</v>
      </c>
      <c r="S143" s="5">
        <f>IFERROR(MONTH('RAW DATA'!B143),0)</f>
        <v>7</v>
      </c>
      <c r="T143" s="3" t="str">
        <f t="shared" si="4"/>
        <v>Q3</v>
      </c>
      <c r="U143" s="3" t="str">
        <f>IF('RAW DATA'!I143&gt;20,"High",IF('RAW DATA'!I143&gt;10,"Medium","Low"))</f>
        <v>Medium</v>
      </c>
      <c r="V143" s="3" t="str">
        <f>IF('RAW DATA'!B143="","Yes","No")</f>
        <v>No</v>
      </c>
      <c r="W143" s="2" t="str">
        <f>IF(COUNTIF(A$2:A442,A143)&gt;1,"Duplicate","OK")</f>
        <v>OK</v>
      </c>
      <c r="X143">
        <f t="shared" si="5"/>
        <v>5</v>
      </c>
    </row>
    <row r="144" spans="1:24" x14ac:dyDescent="0.25">
      <c r="A144" s="2" t="s">
        <v>328</v>
      </c>
      <c r="B144" s="2" t="s">
        <v>329</v>
      </c>
      <c r="C144" s="2" t="s">
        <v>31</v>
      </c>
      <c r="D144" s="2" t="str">
        <f>PROPER('RAW DATA'!D144)</f>
        <v>David Habimana</v>
      </c>
      <c r="E144" s="2" t="s">
        <v>33</v>
      </c>
      <c r="F144" s="2" t="s">
        <v>34</v>
      </c>
      <c r="G144" s="2" t="s">
        <v>22</v>
      </c>
      <c r="H144" s="2" t="s">
        <v>72</v>
      </c>
      <c r="I144" s="5">
        <f>IFERROR(IF('RAW DATA'!I144="",AVERAGE('RAW DATA'!I$2:I$301),'RAW DATA'!I144),0)</f>
        <v>12</v>
      </c>
      <c r="J144" s="2">
        <v>3.5</v>
      </c>
      <c r="K144" s="2" t="s">
        <v>26</v>
      </c>
      <c r="L144" s="2">
        <f>IFERROR(IF('RAW DATA'!L144="",3,'RAW DATA'!L144),3)</f>
        <v>5</v>
      </c>
      <c r="M144" s="2" t="s">
        <v>90</v>
      </c>
      <c r="N144" s="2" t="s">
        <v>24</v>
      </c>
      <c r="O144" s="2">
        <v>1</v>
      </c>
      <c r="P144" s="2" t="s">
        <v>66</v>
      </c>
      <c r="Q144" s="9" t="s">
        <v>36</v>
      </c>
      <c r="R144" s="2" t="str">
        <f>IFERROR(TEXT('RAW DATA'!B144,"MMMM"),"UKNNOWN")</f>
        <v>December</v>
      </c>
      <c r="S144" s="5">
        <f>IFERROR(MONTH('RAW DATA'!B144),0)</f>
        <v>12</v>
      </c>
      <c r="T144" s="2" t="str">
        <f t="shared" si="4"/>
        <v>Q4</v>
      </c>
      <c r="U144" s="2" t="str">
        <f>IF('RAW DATA'!I144&gt;20,"High",IF('RAW DATA'!I144&gt;10,"Medium","Low"))</f>
        <v>Medium</v>
      </c>
      <c r="V144" s="2" t="str">
        <f>IF('RAW DATA'!B144="","Yes","No")</f>
        <v>No</v>
      </c>
      <c r="W144" s="2" t="str">
        <f>IF(COUNTIF(A$2:A443,A144)&gt;1,"Duplicate","OK")</f>
        <v>OK</v>
      </c>
      <c r="X144">
        <f t="shared" si="5"/>
        <v>5</v>
      </c>
    </row>
    <row r="145" spans="1:24" x14ac:dyDescent="0.25">
      <c r="A145" s="3" t="s">
        <v>330</v>
      </c>
      <c r="B145" s="3" t="s">
        <v>331</v>
      </c>
      <c r="C145" s="3" t="s">
        <v>56</v>
      </c>
      <c r="D145" s="2" t="str">
        <f>PROPER('RAW DATA'!D145)</f>
        <v>John Gasana</v>
      </c>
      <c r="E145" s="3" t="s">
        <v>41</v>
      </c>
      <c r="F145" s="3" t="s">
        <v>42</v>
      </c>
      <c r="G145" s="3" t="s">
        <v>41</v>
      </c>
      <c r="H145" s="3" t="s">
        <v>44</v>
      </c>
      <c r="I145" s="5">
        <f>IFERROR(IF('RAW DATA'!I145="",AVERAGE('RAW DATA'!I$2:I$301),'RAW DATA'!I145),0)</f>
        <v>11.3</v>
      </c>
      <c r="J145" s="3">
        <v>3.8</v>
      </c>
      <c r="K145" s="3" t="s">
        <v>24</v>
      </c>
      <c r="L145" s="2">
        <f>IFERROR(IF('RAW DATA'!L145="",3,'RAW DATA'!L145),3)</f>
        <v>4</v>
      </c>
      <c r="M145" s="3" t="s">
        <v>81</v>
      </c>
      <c r="N145" s="3" t="s">
        <v>26</v>
      </c>
      <c r="O145" s="3">
        <v>1</v>
      </c>
      <c r="P145" s="3" t="s">
        <v>27</v>
      </c>
      <c r="Q145" s="10" t="s">
        <v>60</v>
      </c>
      <c r="R145" s="3" t="str">
        <f>IFERROR(TEXT('RAW DATA'!B145,"MMMM"),"UKNNOWN")</f>
        <v>December</v>
      </c>
      <c r="S145" s="5">
        <f>IFERROR(MONTH('RAW DATA'!B145),0)</f>
        <v>12</v>
      </c>
      <c r="T145" s="3" t="str">
        <f t="shared" si="4"/>
        <v>Q4</v>
      </c>
      <c r="U145" s="3" t="str">
        <f>IF('RAW DATA'!I145&gt;20,"High",IF('RAW DATA'!I145&gt;10,"Medium","Low"))</f>
        <v>Medium</v>
      </c>
      <c r="V145" s="3" t="str">
        <f>IF('RAW DATA'!B145="","Yes","No")</f>
        <v>No</v>
      </c>
      <c r="W145" s="2" t="str">
        <f>IF(COUNTIF(A$2:A444,A145)&gt;1,"Duplicate","OK")</f>
        <v>OK</v>
      </c>
      <c r="X145">
        <f t="shared" si="5"/>
        <v>4</v>
      </c>
    </row>
    <row r="146" spans="1:24" x14ac:dyDescent="0.25">
      <c r="A146" s="2" t="s">
        <v>332</v>
      </c>
      <c r="B146" s="2" t="s">
        <v>181</v>
      </c>
      <c r="C146" s="2" t="s">
        <v>56</v>
      </c>
      <c r="D146" s="2" t="str">
        <f>PROPER('RAW DATA'!D146)</f>
        <v>John Gasana</v>
      </c>
      <c r="E146" s="2" t="s">
        <v>41</v>
      </c>
      <c r="F146" s="2" t="s">
        <v>42</v>
      </c>
      <c r="G146" s="2" t="s">
        <v>43</v>
      </c>
      <c r="H146" s="2" t="s">
        <v>58</v>
      </c>
      <c r="I146" s="5">
        <f>IFERROR(IF('RAW DATA'!I146="",AVERAGE('RAW DATA'!I$2:I$301),'RAW DATA'!I146),0)</f>
        <v>9.5</v>
      </c>
      <c r="J146" s="2">
        <v>5.2</v>
      </c>
      <c r="K146" s="2" t="s">
        <v>24</v>
      </c>
      <c r="L146" s="2">
        <f>IFERROR(IF('RAW DATA'!L146="",3,'RAW DATA'!L146),3)</f>
        <v>5</v>
      </c>
      <c r="M146" s="2" t="s">
        <v>90</v>
      </c>
      <c r="N146" s="2" t="s">
        <v>26</v>
      </c>
      <c r="O146" s="2">
        <v>1</v>
      </c>
      <c r="P146" s="2" t="s">
        <v>27</v>
      </c>
      <c r="Q146" s="9" t="s">
        <v>60</v>
      </c>
      <c r="R146" s="2" t="str">
        <f>IFERROR(TEXT('RAW DATA'!B146,"MMMM"),"UKNNOWN")</f>
        <v>April</v>
      </c>
      <c r="S146" s="5">
        <f>IFERROR(MONTH('RAW DATA'!B146),0)</f>
        <v>4</v>
      </c>
      <c r="T146" s="2" t="str">
        <f t="shared" si="4"/>
        <v>Q2</v>
      </c>
      <c r="U146" s="2" t="str">
        <f>IF('RAW DATA'!I146&gt;20,"High",IF('RAW DATA'!I146&gt;10,"Medium","Low"))</f>
        <v>Low</v>
      </c>
      <c r="V146" s="2" t="str">
        <f>IF('RAW DATA'!B146="","Yes","No")</f>
        <v>No</v>
      </c>
      <c r="W146" s="2" t="str">
        <f>IF(COUNTIF(A$2:A445,A146)&gt;1,"Duplicate","OK")</f>
        <v>OK</v>
      </c>
      <c r="X146">
        <f t="shared" si="5"/>
        <v>5</v>
      </c>
    </row>
    <row r="147" spans="1:24" x14ac:dyDescent="0.25">
      <c r="A147" s="3" t="s">
        <v>333</v>
      </c>
      <c r="B147" s="3" t="s">
        <v>334</v>
      </c>
      <c r="C147" s="3" t="s">
        <v>70</v>
      </c>
      <c r="D147" s="2" t="str">
        <f>PROPER('RAW DATA'!D147)</f>
        <v>Claire Mukamana</v>
      </c>
      <c r="E147" s="3" t="s">
        <v>33</v>
      </c>
      <c r="F147" s="3" t="s">
        <v>34</v>
      </c>
      <c r="G147" s="3" t="s">
        <v>43</v>
      </c>
      <c r="H147" s="3" t="s">
        <v>23</v>
      </c>
      <c r="I147" s="5">
        <f>IFERROR(IF('RAW DATA'!I147="",AVERAGE('RAW DATA'!I$2:I$301),'RAW DATA'!I147),0)</f>
        <v>7.1</v>
      </c>
      <c r="J147" s="3">
        <v>8.3000000000000007</v>
      </c>
      <c r="K147" s="3" t="s">
        <v>26</v>
      </c>
      <c r="L147" s="2">
        <f>IFERROR(IF('RAW DATA'!L147="",3,'RAW DATA'!L147),3)</f>
        <v>3</v>
      </c>
      <c r="M147" s="3" t="s">
        <v>59</v>
      </c>
      <c r="N147" s="3" t="s">
        <v>24</v>
      </c>
      <c r="O147" s="3">
        <v>1</v>
      </c>
      <c r="P147" s="3" t="s">
        <v>52</v>
      </c>
      <c r="Q147" s="10" t="s">
        <v>73</v>
      </c>
      <c r="R147" s="3" t="str">
        <f>IFERROR(TEXT('RAW DATA'!B147,"MMMM"),"UKNNOWN")</f>
        <v>February</v>
      </c>
      <c r="S147" s="5">
        <f>IFERROR(MONTH('RAW DATA'!B147),0)</f>
        <v>2</v>
      </c>
      <c r="T147" s="3" t="str">
        <f t="shared" si="4"/>
        <v>Q1</v>
      </c>
      <c r="U147" s="3" t="str">
        <f>IF('RAW DATA'!I147&gt;20,"High",IF('RAW DATA'!I147&gt;10,"Medium","Low"))</f>
        <v>Low</v>
      </c>
      <c r="V147" s="3" t="str">
        <f>IF('RAW DATA'!B147="","Yes","No")</f>
        <v>No</v>
      </c>
      <c r="W147" s="2" t="str">
        <f>IF(COUNTIF(A$2:A446,A147)&gt;1,"Duplicate","OK")</f>
        <v>OK</v>
      </c>
      <c r="X147">
        <f t="shared" si="5"/>
        <v>3</v>
      </c>
    </row>
    <row r="148" spans="1:24" x14ac:dyDescent="0.25">
      <c r="A148" s="2" t="s">
        <v>335</v>
      </c>
      <c r="B148" s="2" t="s">
        <v>336</v>
      </c>
      <c r="C148" s="2" t="s">
        <v>39</v>
      </c>
      <c r="D148" s="2" t="str">
        <f>PROPER('RAW DATA'!D148)</f>
        <v>Grace Uwase</v>
      </c>
      <c r="E148" s="2" t="s">
        <v>41</v>
      </c>
      <c r="F148" s="2" t="s">
        <v>42</v>
      </c>
      <c r="G148" s="2" t="s">
        <v>43</v>
      </c>
      <c r="H148" s="2" t="s">
        <v>80</v>
      </c>
      <c r="I148" s="5">
        <f>IFERROR(IF('RAW DATA'!I148="",AVERAGE('RAW DATA'!I$2:I$301),'RAW DATA'!I148),0)</f>
        <v>5.8</v>
      </c>
      <c r="J148" s="2">
        <v>4</v>
      </c>
      <c r="K148" s="2" t="s">
        <v>24</v>
      </c>
      <c r="L148" s="2">
        <f>IFERROR(IF('RAW DATA'!L148="",3,'RAW DATA'!L148),3)</f>
        <v>5</v>
      </c>
      <c r="M148" s="2" t="s">
        <v>25</v>
      </c>
      <c r="N148" s="2" t="s">
        <v>26</v>
      </c>
      <c r="O148" s="2">
        <v>1</v>
      </c>
      <c r="P148" s="2" t="s">
        <v>13</v>
      </c>
      <c r="Q148" s="9" t="s">
        <v>46</v>
      </c>
      <c r="R148" s="2" t="str">
        <f>IFERROR(TEXT('RAW DATA'!B148,"MMMM"),"UKNNOWN")</f>
        <v>January</v>
      </c>
      <c r="S148" s="5">
        <f>IFERROR(MONTH('RAW DATA'!B148),0)</f>
        <v>1</v>
      </c>
      <c r="T148" s="2" t="str">
        <f t="shared" si="4"/>
        <v>Q1</v>
      </c>
      <c r="U148" s="2" t="str">
        <f>IF('RAW DATA'!I148&gt;20,"High",IF('RAW DATA'!I148&gt;10,"Medium","Low"))</f>
        <v>Low</v>
      </c>
      <c r="V148" s="2" t="str">
        <f>IF('RAW DATA'!B148="","Yes","No")</f>
        <v>No</v>
      </c>
      <c r="W148" s="2" t="str">
        <f>IF(COUNTIF(A$2:A447,A148)&gt;1,"Duplicate","OK")</f>
        <v>OK</v>
      </c>
      <c r="X148">
        <f t="shared" si="5"/>
        <v>5</v>
      </c>
    </row>
    <row r="149" spans="1:24" x14ac:dyDescent="0.25">
      <c r="A149" s="3" t="s">
        <v>337</v>
      </c>
      <c r="B149" s="3" t="s">
        <v>338</v>
      </c>
      <c r="C149" s="3" t="s">
        <v>49</v>
      </c>
      <c r="D149" s="2" t="str">
        <f>PROPER('RAW DATA'!D149)</f>
        <v>Frank Nzeyimana</v>
      </c>
      <c r="E149" s="3" t="s">
        <v>41</v>
      </c>
      <c r="F149" s="3" t="s">
        <v>42</v>
      </c>
      <c r="G149" s="3" t="s">
        <v>22</v>
      </c>
      <c r="H149" s="3" t="s">
        <v>95</v>
      </c>
      <c r="I149" s="5">
        <f>IFERROR(IF('RAW DATA'!I149="",AVERAGE('RAW DATA'!I$2:I$301),'RAW DATA'!I149),0)</f>
        <v>8.4</v>
      </c>
      <c r="J149" s="3">
        <v>2.9</v>
      </c>
      <c r="K149" s="3" t="s">
        <v>24</v>
      </c>
      <c r="L149" s="2">
        <f>IFERROR(IF('RAW DATA'!L149="",3,'RAW DATA'!L149),3)</f>
        <v>4</v>
      </c>
      <c r="M149" s="3" t="s">
        <v>51</v>
      </c>
      <c r="N149" s="3" t="s">
        <v>26</v>
      </c>
      <c r="O149" s="3">
        <v>1</v>
      </c>
      <c r="P149" s="3" t="s">
        <v>13</v>
      </c>
      <c r="Q149" s="10" t="s">
        <v>53</v>
      </c>
      <c r="R149" s="3" t="str">
        <f>IFERROR(TEXT('RAW DATA'!B149,"MMMM"),"UKNNOWN")</f>
        <v>November</v>
      </c>
      <c r="S149" s="5">
        <f>IFERROR(MONTH('RAW DATA'!B149),0)</f>
        <v>11</v>
      </c>
      <c r="T149" s="3" t="str">
        <f t="shared" si="4"/>
        <v>Q4</v>
      </c>
      <c r="U149" s="3" t="str">
        <f>IF('RAW DATA'!I149&gt;20,"High",IF('RAW DATA'!I149&gt;10,"Medium","Low"))</f>
        <v>Low</v>
      </c>
      <c r="V149" s="3" t="str">
        <f>IF('RAW DATA'!B149="","Yes","No")</f>
        <v>No</v>
      </c>
      <c r="W149" s="2" t="str">
        <f>IF(COUNTIF(A$2:A448,A149)&gt;1,"Duplicate","OK")</f>
        <v>OK</v>
      </c>
      <c r="X149">
        <f t="shared" si="5"/>
        <v>4</v>
      </c>
    </row>
    <row r="150" spans="1:24" x14ac:dyDescent="0.25">
      <c r="A150" s="2" t="s">
        <v>339</v>
      </c>
      <c r="B150" s="2" t="s">
        <v>340</v>
      </c>
      <c r="C150" s="2" t="s">
        <v>18</v>
      </c>
      <c r="D150" s="2" t="str">
        <f>PROPER('RAW DATA'!D150)</f>
        <v>Bob Nshimiyimana</v>
      </c>
      <c r="E150" s="2" t="s">
        <v>20</v>
      </c>
      <c r="F150" s="2" t="s">
        <v>21</v>
      </c>
      <c r="G150" s="2" t="s">
        <v>43</v>
      </c>
      <c r="H150" s="2" t="s">
        <v>58</v>
      </c>
      <c r="I150" s="5">
        <f>IFERROR(IF('RAW DATA'!I150="",AVERAGE('RAW DATA'!I$2:I$301),'RAW DATA'!I150),0)</f>
        <v>10.1</v>
      </c>
      <c r="J150" s="2">
        <v>4.2</v>
      </c>
      <c r="K150" s="2" t="s">
        <v>26</v>
      </c>
      <c r="L150" s="2">
        <f>IFERROR(IF('RAW DATA'!L150="",3,'RAW DATA'!L150),3)</f>
        <v>3</v>
      </c>
      <c r="M150" s="2" t="s">
        <v>25</v>
      </c>
      <c r="N150" s="2" t="s">
        <v>24</v>
      </c>
      <c r="O150" s="2">
        <v>2</v>
      </c>
      <c r="P150" s="2" t="s">
        <v>13</v>
      </c>
      <c r="Q150" s="9" t="s">
        <v>28</v>
      </c>
      <c r="R150" s="2" t="str">
        <f>IFERROR(TEXT('RAW DATA'!B150,"MMMM"),"UKNNOWN")</f>
        <v>January</v>
      </c>
      <c r="S150" s="5">
        <f>IFERROR(MONTH('RAW DATA'!B150),0)</f>
        <v>1</v>
      </c>
      <c r="T150" s="2" t="str">
        <f t="shared" si="4"/>
        <v>Q1</v>
      </c>
      <c r="U150" s="2" t="str">
        <f>IF('RAW DATA'!I150&gt;20,"High",IF('RAW DATA'!I150&gt;10,"Medium","Low"))</f>
        <v>Medium</v>
      </c>
      <c r="V150" s="2" t="str">
        <f>IF('RAW DATA'!B150="","Yes","No")</f>
        <v>No</v>
      </c>
      <c r="W150" s="2" t="str">
        <f>IF(COUNTIF(A$2:A449,A150)&gt;1,"Duplicate","OK")</f>
        <v>OK</v>
      </c>
      <c r="X150">
        <f t="shared" si="5"/>
        <v>3</v>
      </c>
    </row>
    <row r="151" spans="1:24" x14ac:dyDescent="0.25">
      <c r="A151" s="3" t="s">
        <v>341</v>
      </c>
      <c r="B151" s="3" t="s">
        <v>342</v>
      </c>
      <c r="C151" s="3" t="s">
        <v>39</v>
      </c>
      <c r="D151" s="2" t="str">
        <f>PROPER('RAW DATA'!D151)</f>
        <v>Grace Uwase</v>
      </c>
      <c r="E151" s="3" t="s">
        <v>41</v>
      </c>
      <c r="F151" s="3" t="s">
        <v>42</v>
      </c>
      <c r="G151" s="3" t="s">
        <v>41</v>
      </c>
      <c r="H151" s="3" t="s">
        <v>23</v>
      </c>
      <c r="I151" s="5">
        <f>IFERROR(IF('RAW DATA'!I151="",AVERAGE('RAW DATA'!I$2:I$301),'RAW DATA'!I151),0)</f>
        <v>5.3</v>
      </c>
      <c r="J151" s="3">
        <v>1.9</v>
      </c>
      <c r="K151" s="3" t="s">
        <v>26</v>
      </c>
      <c r="L151" s="2">
        <f>IFERROR(IF('RAW DATA'!L151="",3,'RAW DATA'!L151),3)</f>
        <v>2</v>
      </c>
      <c r="M151" s="3" t="s">
        <v>51</v>
      </c>
      <c r="N151" s="3" t="s">
        <v>26</v>
      </c>
      <c r="O151" s="3">
        <v>1</v>
      </c>
      <c r="P151" s="3" t="s">
        <v>27</v>
      </c>
      <c r="Q151" s="10" t="s">
        <v>46</v>
      </c>
      <c r="R151" s="3" t="str">
        <f>IFERROR(TEXT('RAW DATA'!B151,"MMMM"),"UKNNOWN")</f>
        <v>May</v>
      </c>
      <c r="S151" s="5">
        <f>IFERROR(MONTH('RAW DATA'!B151),0)</f>
        <v>5</v>
      </c>
      <c r="T151" s="3" t="str">
        <f t="shared" si="4"/>
        <v>Q2</v>
      </c>
      <c r="U151" s="3" t="str">
        <f>IF('RAW DATA'!I151&gt;20,"High",IF('RAW DATA'!I151&gt;10,"Medium","Low"))</f>
        <v>Low</v>
      </c>
      <c r="V151" s="3" t="str">
        <f>IF('RAW DATA'!B151="","Yes","No")</f>
        <v>No</v>
      </c>
      <c r="W151" s="2" t="str">
        <f>IF(COUNTIF(A$2:A450,A151)&gt;1,"Duplicate","OK")</f>
        <v>OK</v>
      </c>
      <c r="X151">
        <f t="shared" si="5"/>
        <v>2</v>
      </c>
    </row>
    <row r="152" spans="1:24" x14ac:dyDescent="0.25">
      <c r="A152" s="2" t="s">
        <v>343</v>
      </c>
      <c r="B152" s="2"/>
      <c r="C152" s="2" t="s">
        <v>31</v>
      </c>
      <c r="D152" s="2" t="str">
        <f>PROPER('RAW DATA'!D152)</f>
        <v>David Habimana</v>
      </c>
      <c r="E152" s="2" t="s">
        <v>33</v>
      </c>
      <c r="F152" s="2" t="s">
        <v>34</v>
      </c>
      <c r="G152" s="2" t="s">
        <v>43</v>
      </c>
      <c r="H152" s="2" t="s">
        <v>80</v>
      </c>
      <c r="I152" s="5">
        <f>IFERROR(IF('RAW DATA'!I152="",AVERAGE('RAW DATA'!I$2:I$301),'RAW DATA'!I152),0)</f>
        <v>7.5</v>
      </c>
      <c r="J152" s="2">
        <v>2.4</v>
      </c>
      <c r="K152" s="2" t="s">
        <v>26</v>
      </c>
      <c r="L152" s="2">
        <f>IFERROR(IF('RAW DATA'!L152="",3,'RAW DATA'!L152),3)</f>
        <v>1</v>
      </c>
      <c r="M152" s="2" t="s">
        <v>25</v>
      </c>
      <c r="N152" s="2" t="s">
        <v>24</v>
      </c>
      <c r="O152" s="2">
        <v>3</v>
      </c>
      <c r="P152" s="2" t="s">
        <v>13</v>
      </c>
      <c r="Q152" s="9" t="s">
        <v>36</v>
      </c>
      <c r="R152" s="2" t="str">
        <f>IFERROR(TEXT('RAW DATA'!B152,"MMMM"),"UKNNOWN")</f>
        <v>January</v>
      </c>
      <c r="S152" s="5">
        <f>IFERROR(MONTH('RAW DATA'!B152),0)</f>
        <v>1</v>
      </c>
      <c r="T152" s="2" t="str">
        <f t="shared" si="4"/>
        <v>Q1</v>
      </c>
      <c r="U152" s="2" t="str">
        <f>IF('RAW DATA'!I152&gt;20,"High",IF('RAW DATA'!I152&gt;10,"Medium","Low"))</f>
        <v>Low</v>
      </c>
      <c r="V152" s="2" t="str">
        <f>IF('RAW DATA'!B152="","Yes","No")</f>
        <v>Yes</v>
      </c>
      <c r="W152" s="2" t="str">
        <f>IF(COUNTIF(A$2:A451,A152)&gt;1,"Duplicate","OK")</f>
        <v>OK</v>
      </c>
      <c r="X152">
        <f t="shared" si="5"/>
        <v>1</v>
      </c>
    </row>
    <row r="153" spans="1:24" x14ac:dyDescent="0.25">
      <c r="A153" s="3" t="s">
        <v>345</v>
      </c>
      <c r="B153" s="3" t="s">
        <v>346</v>
      </c>
      <c r="C153" s="3" t="s">
        <v>85</v>
      </c>
      <c r="D153" s="2" t="str">
        <f>PROPER('RAW DATA'!D153)</f>
        <v>Irene Mutesi</v>
      </c>
      <c r="E153" s="3" t="s">
        <v>20</v>
      </c>
      <c r="F153" s="3" t="s">
        <v>21</v>
      </c>
      <c r="G153" s="3" t="s">
        <v>43</v>
      </c>
      <c r="H153" s="3" t="s">
        <v>44</v>
      </c>
      <c r="I153" s="5">
        <f>IFERROR(IF('RAW DATA'!I153="",AVERAGE('RAW DATA'!I$2:I$301),'RAW DATA'!I153),0)</f>
        <v>1</v>
      </c>
      <c r="J153" s="3">
        <v>3.7</v>
      </c>
      <c r="K153" s="3" t="s">
        <v>24</v>
      </c>
      <c r="L153" s="2">
        <f>IFERROR(IF('RAW DATA'!L153="",3,'RAW DATA'!L153),3)</f>
        <v>4</v>
      </c>
      <c r="M153" s="3" t="s">
        <v>90</v>
      </c>
      <c r="N153" s="3" t="s">
        <v>26</v>
      </c>
      <c r="O153" s="3">
        <v>1</v>
      </c>
      <c r="P153" s="3" t="s">
        <v>52</v>
      </c>
      <c r="Q153" s="10" t="s">
        <v>87</v>
      </c>
      <c r="R153" s="3" t="str">
        <f>IFERROR(TEXT('RAW DATA'!B153,"MMMM"),"UKNNOWN")</f>
        <v>September</v>
      </c>
      <c r="S153" s="5">
        <f>IFERROR(MONTH('RAW DATA'!B153),0)</f>
        <v>9</v>
      </c>
      <c r="T153" s="3" t="str">
        <f t="shared" si="4"/>
        <v>Q3</v>
      </c>
      <c r="U153" s="3" t="str">
        <f>IF('RAW DATA'!I153&gt;20,"High",IF('RAW DATA'!I153&gt;10,"Medium","Low"))</f>
        <v>Low</v>
      </c>
      <c r="V153" s="3" t="str">
        <f>IF('RAW DATA'!B153="","Yes","No")</f>
        <v>No</v>
      </c>
      <c r="W153" s="2" t="str">
        <f>IF(COUNTIF(A$2:A452,A153)&gt;1,"Duplicate","OK")</f>
        <v>OK</v>
      </c>
      <c r="X153">
        <f t="shared" si="5"/>
        <v>4</v>
      </c>
    </row>
    <row r="154" spans="1:24" x14ac:dyDescent="0.25">
      <c r="A154" s="2" t="s">
        <v>347</v>
      </c>
      <c r="B154" s="2" t="s">
        <v>348</v>
      </c>
      <c r="C154" s="2" t="s">
        <v>105</v>
      </c>
      <c r="D154" s="2" t="str">
        <f>PROPER('RAW DATA'!D154)</f>
        <v>Alice Uwimana</v>
      </c>
      <c r="E154" s="2" t="s">
        <v>20</v>
      </c>
      <c r="F154" s="2" t="s">
        <v>21</v>
      </c>
      <c r="G154" s="2" t="s">
        <v>43</v>
      </c>
      <c r="H154" s="2" t="s">
        <v>80</v>
      </c>
      <c r="I154" s="5">
        <f>IFERROR(IF('RAW DATA'!I154="",AVERAGE('RAW DATA'!I$2:I$301),'RAW DATA'!I154),0)</f>
        <v>7.3</v>
      </c>
      <c r="J154" s="2">
        <v>4.5999999999999996</v>
      </c>
      <c r="K154" s="2" t="s">
        <v>24</v>
      </c>
      <c r="L154" s="2">
        <f>IFERROR(IF('RAW DATA'!L154="",3,'RAW DATA'!L154),3)</f>
        <v>3</v>
      </c>
      <c r="M154" s="2" t="s">
        <v>51</v>
      </c>
      <c r="N154" s="2" t="s">
        <v>26</v>
      </c>
      <c r="O154" s="2">
        <v>1</v>
      </c>
      <c r="P154" s="2" t="s">
        <v>13</v>
      </c>
      <c r="Q154" s="9" t="s">
        <v>107</v>
      </c>
      <c r="R154" s="2" t="str">
        <f>IFERROR(TEXT('RAW DATA'!B154,"MMMM"),"UKNNOWN")</f>
        <v>May</v>
      </c>
      <c r="S154" s="5">
        <f>IFERROR(MONTH('RAW DATA'!B154),0)</f>
        <v>5</v>
      </c>
      <c r="T154" s="2" t="str">
        <f t="shared" si="4"/>
        <v>Q2</v>
      </c>
      <c r="U154" s="2" t="str">
        <f>IF('RAW DATA'!I154&gt;20,"High",IF('RAW DATA'!I154&gt;10,"Medium","Low"))</f>
        <v>Low</v>
      </c>
      <c r="V154" s="2" t="str">
        <f>IF('RAW DATA'!B154="","Yes","No")</f>
        <v>No</v>
      </c>
      <c r="W154" s="2" t="str">
        <f>IF(COUNTIF(A$2:A453,A154)&gt;1,"Duplicate","OK")</f>
        <v>OK</v>
      </c>
      <c r="X154">
        <f t="shared" si="5"/>
        <v>3</v>
      </c>
    </row>
    <row r="155" spans="1:24" x14ac:dyDescent="0.25">
      <c r="A155" s="3" t="s">
        <v>349</v>
      </c>
      <c r="B155" s="3" t="s">
        <v>287</v>
      </c>
      <c r="C155" s="3" t="s">
        <v>70</v>
      </c>
      <c r="D155" s="2" t="str">
        <f>PROPER('RAW DATA'!D155)</f>
        <v>Claire Mukamana</v>
      </c>
      <c r="E155" s="3" t="s">
        <v>33</v>
      </c>
      <c r="F155" s="3" t="s">
        <v>34</v>
      </c>
      <c r="G155" s="3" t="s">
        <v>43</v>
      </c>
      <c r="H155" s="3" t="s">
        <v>58</v>
      </c>
      <c r="I155" s="5">
        <f>IFERROR(IF('RAW DATA'!I155="",AVERAGE('RAW DATA'!I$2:I$301),'RAW DATA'!I155),0)</f>
        <v>10.199999999999999</v>
      </c>
      <c r="J155" s="3">
        <v>1.3</v>
      </c>
      <c r="K155" s="3" t="s">
        <v>24</v>
      </c>
      <c r="L155" s="2">
        <f>IFERROR(IF('RAW DATA'!L155="",3,'RAW DATA'!L155),3)</f>
        <v>5</v>
      </c>
      <c r="M155" s="3" t="s">
        <v>59</v>
      </c>
      <c r="N155" s="3" t="s">
        <v>26</v>
      </c>
      <c r="O155" s="3">
        <v>1</v>
      </c>
      <c r="P155" s="3" t="s">
        <v>13</v>
      </c>
      <c r="Q155" s="10" t="s">
        <v>73</v>
      </c>
      <c r="R155" s="3" t="str">
        <f>IFERROR(TEXT('RAW DATA'!B155,"MMMM"),"UKNNOWN")</f>
        <v>June</v>
      </c>
      <c r="S155" s="5">
        <f>IFERROR(MONTH('RAW DATA'!B155),0)</f>
        <v>6</v>
      </c>
      <c r="T155" s="3" t="str">
        <f t="shared" si="4"/>
        <v>Q2</v>
      </c>
      <c r="U155" s="3" t="str">
        <f>IF('RAW DATA'!I155&gt;20,"High",IF('RAW DATA'!I155&gt;10,"Medium","Low"))</f>
        <v>Medium</v>
      </c>
      <c r="V155" s="3" t="str">
        <f>IF('RAW DATA'!B155="","Yes","No")</f>
        <v>No</v>
      </c>
      <c r="W155" s="2" t="str">
        <f>IF(COUNTIF(A$2:A454,A155)&gt;1,"Duplicate","OK")</f>
        <v>OK</v>
      </c>
      <c r="X155">
        <f t="shared" si="5"/>
        <v>5</v>
      </c>
    </row>
    <row r="156" spans="1:24" x14ac:dyDescent="0.25">
      <c r="A156" s="2" t="s">
        <v>350</v>
      </c>
      <c r="B156" s="2" t="s">
        <v>351</v>
      </c>
      <c r="C156" s="2" t="s">
        <v>78</v>
      </c>
      <c r="D156" s="2" t="str">
        <f>PROPER('RAW DATA'!D156)</f>
        <v>Eve Ingabire</v>
      </c>
      <c r="E156" s="2" t="s">
        <v>20</v>
      </c>
      <c r="F156" s="2" t="s">
        <v>21</v>
      </c>
      <c r="G156" s="2" t="s">
        <v>41</v>
      </c>
      <c r="H156" s="2" t="s">
        <v>44</v>
      </c>
      <c r="I156" s="5">
        <f>IFERROR(IF('RAW DATA'!I156="",AVERAGE('RAW DATA'!I$2:I$301),'RAW DATA'!I156),0)</f>
        <v>9.6</v>
      </c>
      <c r="J156" s="2">
        <v>7.4</v>
      </c>
      <c r="K156" s="2" t="s">
        <v>24</v>
      </c>
      <c r="L156" s="2">
        <f>IFERROR(IF('RAW DATA'!L156="",3,'RAW DATA'!L156),3)</f>
        <v>5</v>
      </c>
      <c r="M156" s="2" t="s">
        <v>51</v>
      </c>
      <c r="N156" s="2" t="s">
        <v>26</v>
      </c>
      <c r="O156" s="2">
        <v>1</v>
      </c>
      <c r="P156" s="2" t="s">
        <v>66</v>
      </c>
      <c r="Q156" s="9" t="s">
        <v>82</v>
      </c>
      <c r="R156" s="2" t="str">
        <f>IFERROR(TEXT('RAW DATA'!B156,"MMMM"),"UKNNOWN")</f>
        <v>January</v>
      </c>
      <c r="S156" s="5">
        <f>IFERROR(MONTH('RAW DATA'!B156),0)</f>
        <v>1</v>
      </c>
      <c r="T156" s="2" t="str">
        <f t="shared" si="4"/>
        <v>Q1</v>
      </c>
      <c r="U156" s="2" t="str">
        <f>IF('RAW DATA'!I156&gt;20,"High",IF('RAW DATA'!I156&gt;10,"Medium","Low"))</f>
        <v>Low</v>
      </c>
      <c r="V156" s="2" t="str">
        <f>IF('RAW DATA'!B156="","Yes","No")</f>
        <v>No</v>
      </c>
      <c r="W156" s="2" t="str">
        <f>IF(COUNTIF(A$2:A455,A156)&gt;1,"Duplicate","OK")</f>
        <v>OK</v>
      </c>
      <c r="X156">
        <f t="shared" si="5"/>
        <v>5</v>
      </c>
    </row>
    <row r="157" spans="1:24" x14ac:dyDescent="0.25">
      <c r="A157" s="3" t="s">
        <v>352</v>
      </c>
      <c r="B157" s="3" t="s">
        <v>109</v>
      </c>
      <c r="C157" s="3" t="s">
        <v>78</v>
      </c>
      <c r="D157" s="2" t="str">
        <f>PROPER('RAW DATA'!D157)</f>
        <v>Eve Ingabire</v>
      </c>
      <c r="E157" s="3" t="s">
        <v>20</v>
      </c>
      <c r="F157" s="3" t="s">
        <v>21</v>
      </c>
      <c r="G157" s="3" t="s">
        <v>43</v>
      </c>
      <c r="H157" s="3" t="s">
        <v>80</v>
      </c>
      <c r="I157" s="5">
        <f>IFERROR(IF('RAW DATA'!I157="",AVERAGE('RAW DATA'!I$2:I$301),'RAW DATA'!I157),0)</f>
        <v>12.2</v>
      </c>
      <c r="J157" s="3">
        <v>4.7</v>
      </c>
      <c r="K157" s="3" t="s">
        <v>24</v>
      </c>
      <c r="L157" s="2">
        <f>IFERROR(IF('RAW DATA'!L157="",3,'RAW DATA'!L157),3)</f>
        <v>4</v>
      </c>
      <c r="M157" s="3" t="s">
        <v>59</v>
      </c>
      <c r="N157" s="3" t="s">
        <v>26</v>
      </c>
      <c r="O157" s="3">
        <v>1</v>
      </c>
      <c r="P157" s="3" t="s">
        <v>66</v>
      </c>
      <c r="Q157" s="10" t="s">
        <v>82</v>
      </c>
      <c r="R157" s="3" t="str">
        <f>IFERROR(TEXT('RAW DATA'!B157,"MMMM"),"UKNNOWN")</f>
        <v>August</v>
      </c>
      <c r="S157" s="5">
        <f>IFERROR(MONTH('RAW DATA'!B157),0)</f>
        <v>8</v>
      </c>
      <c r="T157" s="3" t="str">
        <f t="shared" si="4"/>
        <v>Q3</v>
      </c>
      <c r="U157" s="3" t="str">
        <f>IF('RAW DATA'!I157&gt;20,"High",IF('RAW DATA'!I157&gt;10,"Medium","Low"))</f>
        <v>Medium</v>
      </c>
      <c r="V157" s="3" t="str">
        <f>IF('RAW DATA'!B157="","Yes","No")</f>
        <v>No</v>
      </c>
      <c r="W157" s="2" t="str">
        <f>IF(COUNTIF(A$2:A456,A157)&gt;1,"Duplicate","OK")</f>
        <v>OK</v>
      </c>
      <c r="X157">
        <f t="shared" si="5"/>
        <v>4</v>
      </c>
    </row>
    <row r="158" spans="1:24" x14ac:dyDescent="0.25">
      <c r="A158" s="2" t="s">
        <v>353</v>
      </c>
      <c r="B158" s="2" t="s">
        <v>145</v>
      </c>
      <c r="C158" s="2" t="s">
        <v>63</v>
      </c>
      <c r="D158" s="2" t="str">
        <f>PROPER('RAW DATA'!D158)</f>
        <v>Henry Bizimana</v>
      </c>
      <c r="E158" s="2" t="s">
        <v>33</v>
      </c>
      <c r="F158" s="2" t="s">
        <v>34</v>
      </c>
      <c r="G158" s="2" t="s">
        <v>43</v>
      </c>
      <c r="H158" s="2" t="s">
        <v>35</v>
      </c>
      <c r="I158" s="5">
        <f>IFERROR(IF('RAW DATA'!I158="",AVERAGE('RAW DATA'!I$2:I$301),'RAW DATA'!I158),0)</f>
        <v>10.3</v>
      </c>
      <c r="J158" s="2">
        <v>2.8</v>
      </c>
      <c r="K158" s="2" t="s">
        <v>24</v>
      </c>
      <c r="L158" s="2">
        <f>IFERROR(IF('RAW DATA'!L158="",3,'RAW DATA'!L158),3)</f>
        <v>5</v>
      </c>
      <c r="M158" s="2" t="s">
        <v>25</v>
      </c>
      <c r="N158" s="2" t="s">
        <v>26</v>
      </c>
      <c r="O158" s="2">
        <v>1</v>
      </c>
      <c r="P158" s="2" t="s">
        <v>52</v>
      </c>
      <c r="Q158" s="9" t="s">
        <v>67</v>
      </c>
      <c r="R158" s="2" t="str">
        <f>IFERROR(TEXT('RAW DATA'!B158,"MMMM"),"UKNNOWN")</f>
        <v>July</v>
      </c>
      <c r="S158" s="5">
        <f>IFERROR(MONTH('RAW DATA'!B158),0)</f>
        <v>7</v>
      </c>
      <c r="T158" s="2" t="str">
        <f t="shared" si="4"/>
        <v>Q3</v>
      </c>
      <c r="U158" s="2" t="str">
        <f>IF('RAW DATA'!I158&gt;20,"High",IF('RAW DATA'!I158&gt;10,"Medium","Low"))</f>
        <v>Medium</v>
      </c>
      <c r="V158" s="2" t="str">
        <f>IF('RAW DATA'!B158="","Yes","No")</f>
        <v>No</v>
      </c>
      <c r="W158" s="2" t="str">
        <f>IF(COUNTIF(A$2:A457,A158)&gt;1,"Duplicate","OK")</f>
        <v>OK</v>
      </c>
      <c r="X158">
        <f t="shared" si="5"/>
        <v>5</v>
      </c>
    </row>
    <row r="159" spans="1:24" x14ac:dyDescent="0.25">
      <c r="A159" s="3" t="s">
        <v>354</v>
      </c>
      <c r="B159" s="3" t="s">
        <v>355</v>
      </c>
      <c r="C159" s="3" t="s">
        <v>18</v>
      </c>
      <c r="D159" s="2" t="str">
        <f>PROPER('RAW DATA'!D159)</f>
        <v>Bob Nshimiyimana</v>
      </c>
      <c r="E159" s="3" t="s">
        <v>20</v>
      </c>
      <c r="F159" s="3" t="s">
        <v>21</v>
      </c>
      <c r="G159" s="3" t="s">
        <v>43</v>
      </c>
      <c r="H159" s="3" t="s">
        <v>35</v>
      </c>
      <c r="I159" s="5">
        <f>IFERROR(IF('RAW DATA'!I159="",AVERAGE('RAW DATA'!I$2:I$301),'RAW DATA'!I159),0)</f>
        <v>1</v>
      </c>
      <c r="J159" s="3">
        <v>6.8</v>
      </c>
      <c r="K159" s="3" t="s">
        <v>26</v>
      </c>
      <c r="L159" s="2">
        <f>IFERROR(IF('RAW DATA'!L159="",3,'RAW DATA'!L159),3)</f>
        <v>3</v>
      </c>
      <c r="M159" s="3" t="s">
        <v>59</v>
      </c>
      <c r="N159" s="3" t="s">
        <v>24</v>
      </c>
      <c r="O159" s="3">
        <v>0</v>
      </c>
      <c r="P159" s="3" t="s">
        <v>66</v>
      </c>
      <c r="Q159" s="10" t="s">
        <v>28</v>
      </c>
      <c r="R159" s="3" t="str">
        <f>IFERROR(TEXT('RAW DATA'!B159,"MMMM"),"UKNNOWN")</f>
        <v>August</v>
      </c>
      <c r="S159" s="5">
        <f>IFERROR(MONTH('RAW DATA'!B159),0)</f>
        <v>8</v>
      </c>
      <c r="T159" s="3" t="str">
        <f t="shared" si="4"/>
        <v>Q3</v>
      </c>
      <c r="U159" s="3" t="str">
        <f>IF('RAW DATA'!I159&gt;20,"High",IF('RAW DATA'!I159&gt;10,"Medium","Low"))</f>
        <v>Low</v>
      </c>
      <c r="V159" s="3" t="str">
        <f>IF('RAW DATA'!B159="","Yes","No")</f>
        <v>No</v>
      </c>
      <c r="W159" s="2" t="str">
        <f>IF(COUNTIF(A$2:A458,A159)&gt;1,"Duplicate","OK")</f>
        <v>OK</v>
      </c>
      <c r="X159">
        <f t="shared" si="5"/>
        <v>3</v>
      </c>
    </row>
    <row r="160" spans="1:24" x14ac:dyDescent="0.25">
      <c r="A160" s="2" t="s">
        <v>356</v>
      </c>
      <c r="B160" s="2" t="s">
        <v>357</v>
      </c>
      <c r="C160" s="2" t="s">
        <v>39</v>
      </c>
      <c r="D160" s="2" t="str">
        <f>PROPER('RAW DATA'!D160)</f>
        <v>Grace Uwase</v>
      </c>
      <c r="E160" s="2" t="s">
        <v>41</v>
      </c>
      <c r="F160" s="2" t="s">
        <v>42</v>
      </c>
      <c r="G160" s="2" t="s">
        <v>22</v>
      </c>
      <c r="H160" s="2" t="s">
        <v>35</v>
      </c>
      <c r="I160" s="5">
        <f>IFERROR(IF('RAW DATA'!I160="",AVERAGE('RAW DATA'!I$2:I$301),'RAW DATA'!I160),0)</f>
        <v>9.6</v>
      </c>
      <c r="J160" s="2">
        <v>5.9</v>
      </c>
      <c r="K160" s="2" t="s">
        <v>24</v>
      </c>
      <c r="L160" s="2">
        <f>IFERROR(IF('RAW DATA'!L160="",3,'RAW DATA'!L160),3)</f>
        <v>4</v>
      </c>
      <c r="M160" s="2" t="s">
        <v>25</v>
      </c>
      <c r="N160" s="2" t="s">
        <v>26</v>
      </c>
      <c r="O160" s="2">
        <v>1</v>
      </c>
      <c r="P160" s="2" t="s">
        <v>27</v>
      </c>
      <c r="Q160" s="9" t="s">
        <v>46</v>
      </c>
      <c r="R160" s="2" t="str">
        <f>IFERROR(TEXT('RAW DATA'!B160,"MMMM"),"UKNNOWN")</f>
        <v>November</v>
      </c>
      <c r="S160" s="5">
        <f>IFERROR(MONTH('RAW DATA'!B160),0)</f>
        <v>11</v>
      </c>
      <c r="T160" s="2" t="str">
        <f t="shared" si="4"/>
        <v>Q4</v>
      </c>
      <c r="U160" s="2" t="str">
        <f>IF('RAW DATA'!I160&gt;20,"High",IF('RAW DATA'!I160&gt;10,"Medium","Low"))</f>
        <v>Low</v>
      </c>
      <c r="V160" s="2" t="str">
        <f>IF('RAW DATA'!B160="","Yes","No")</f>
        <v>No</v>
      </c>
      <c r="W160" s="2" t="str">
        <f>IF(COUNTIF(A$2:A459,A160)&gt;1,"Duplicate","OK")</f>
        <v>OK</v>
      </c>
      <c r="X160">
        <f t="shared" si="5"/>
        <v>4</v>
      </c>
    </row>
    <row r="161" spans="1:24" x14ac:dyDescent="0.25">
      <c r="A161" s="3" t="s">
        <v>358</v>
      </c>
      <c r="B161" s="3" t="s">
        <v>359</v>
      </c>
      <c r="C161" s="3" t="s">
        <v>39</v>
      </c>
      <c r="D161" s="2" t="str">
        <f>PROPER('RAW DATA'!D161)</f>
        <v>Grace Uwase</v>
      </c>
      <c r="E161" s="3" t="s">
        <v>41</v>
      </c>
      <c r="F161" s="3" t="s">
        <v>42</v>
      </c>
      <c r="G161" s="3" t="s">
        <v>41</v>
      </c>
      <c r="H161" s="3" t="s">
        <v>95</v>
      </c>
      <c r="I161" s="5">
        <f>IFERROR(IF('RAW DATA'!I161="",AVERAGE('RAW DATA'!I$2:I$301),'RAW DATA'!I161),0)</f>
        <v>4.5</v>
      </c>
      <c r="J161" s="3">
        <v>6.7</v>
      </c>
      <c r="K161" s="3" t="s">
        <v>24</v>
      </c>
      <c r="L161" s="2">
        <f>IFERROR(IF('RAW DATA'!L161="",3,'RAW DATA'!L161),3)</f>
        <v>5</v>
      </c>
      <c r="M161" s="3" t="s">
        <v>25</v>
      </c>
      <c r="N161" s="3" t="s">
        <v>26</v>
      </c>
      <c r="O161" s="3">
        <v>0</v>
      </c>
      <c r="P161" s="3" t="s">
        <v>13</v>
      </c>
      <c r="Q161" s="10" t="s">
        <v>46</v>
      </c>
      <c r="R161" s="3" t="str">
        <f>IFERROR(TEXT('RAW DATA'!B161,"MMMM"),"UKNNOWN")</f>
        <v>February</v>
      </c>
      <c r="S161" s="5">
        <f>IFERROR(MONTH('RAW DATA'!B161),0)</f>
        <v>2</v>
      </c>
      <c r="T161" s="3" t="str">
        <f t="shared" si="4"/>
        <v>Q1</v>
      </c>
      <c r="U161" s="3" t="str">
        <f>IF('RAW DATA'!I161&gt;20,"High",IF('RAW DATA'!I161&gt;10,"Medium","Low"))</f>
        <v>Low</v>
      </c>
      <c r="V161" s="3" t="str">
        <f>IF('RAW DATA'!B161="","Yes","No")</f>
        <v>No</v>
      </c>
      <c r="W161" s="2" t="str">
        <f>IF(COUNTIF(A$2:A460,A161)&gt;1,"Duplicate","OK")</f>
        <v>OK</v>
      </c>
      <c r="X161">
        <f t="shared" si="5"/>
        <v>5</v>
      </c>
    </row>
    <row r="162" spans="1:24" x14ac:dyDescent="0.25">
      <c r="A162" s="2" t="s">
        <v>360</v>
      </c>
      <c r="B162" s="2" t="s">
        <v>240</v>
      </c>
      <c r="C162" s="2" t="s">
        <v>18</v>
      </c>
      <c r="D162" s="2" t="str">
        <f>PROPER('RAW DATA'!D162)</f>
        <v>Bob Nshimiyimana</v>
      </c>
      <c r="E162" s="2" t="s">
        <v>20</v>
      </c>
      <c r="F162" s="2" t="s">
        <v>21</v>
      </c>
      <c r="G162" s="2" t="s">
        <v>43</v>
      </c>
      <c r="H162" s="2" t="s">
        <v>95</v>
      </c>
      <c r="I162" s="5">
        <f>IFERROR(IF('RAW DATA'!I162="",AVERAGE('RAW DATA'!I$2:I$301),'RAW DATA'!I162),0)</f>
        <v>8.4</v>
      </c>
      <c r="J162" s="2">
        <v>6.9</v>
      </c>
      <c r="K162" s="2" t="s">
        <v>24</v>
      </c>
      <c r="L162" s="2">
        <f>IFERROR(IF('RAW DATA'!L162="",3,'RAW DATA'!L162),3)</f>
        <v>3</v>
      </c>
      <c r="M162" s="2" t="s">
        <v>90</v>
      </c>
      <c r="N162" s="2" t="s">
        <v>26</v>
      </c>
      <c r="O162" s="2">
        <v>0</v>
      </c>
      <c r="P162" s="2" t="s">
        <v>27</v>
      </c>
      <c r="Q162" s="9" t="s">
        <v>28</v>
      </c>
      <c r="R162" s="2" t="str">
        <f>IFERROR(TEXT('RAW DATA'!B162,"MMMM"),"UKNNOWN")</f>
        <v>March</v>
      </c>
      <c r="S162" s="5">
        <f>IFERROR(MONTH('RAW DATA'!B162),0)</f>
        <v>3</v>
      </c>
      <c r="T162" s="2" t="str">
        <f t="shared" si="4"/>
        <v>Q1</v>
      </c>
      <c r="U162" s="2" t="str">
        <f>IF('RAW DATA'!I162&gt;20,"High",IF('RAW DATA'!I162&gt;10,"Medium","Low"))</f>
        <v>Low</v>
      </c>
      <c r="V162" s="2" t="str">
        <f>IF('RAW DATA'!B162="","Yes","No")</f>
        <v>No</v>
      </c>
      <c r="W162" s="2" t="str">
        <f>IF(COUNTIF(A$2:A461,A162)&gt;1,"Duplicate","OK")</f>
        <v>OK</v>
      </c>
      <c r="X162">
        <f t="shared" si="5"/>
        <v>3</v>
      </c>
    </row>
    <row r="163" spans="1:24" x14ac:dyDescent="0.25">
      <c r="A163" s="3" t="s">
        <v>361</v>
      </c>
      <c r="B163" s="3" t="s">
        <v>362</v>
      </c>
      <c r="C163" s="3" t="s">
        <v>63</v>
      </c>
      <c r="D163" s="2" t="str">
        <f>PROPER('RAW DATA'!D163)</f>
        <v>Henry Bizimana</v>
      </c>
      <c r="E163" s="3" t="s">
        <v>33</v>
      </c>
      <c r="F163" s="3" t="s">
        <v>34</v>
      </c>
      <c r="G163" s="3" t="s">
        <v>43</v>
      </c>
      <c r="H163" s="3" t="s">
        <v>72</v>
      </c>
      <c r="I163" s="5">
        <f>IFERROR(IF('RAW DATA'!I163="",AVERAGE('RAW DATA'!I$2:I$301),'RAW DATA'!I163),0)</f>
        <v>8.3000000000000007</v>
      </c>
      <c r="J163" s="3">
        <v>1.4</v>
      </c>
      <c r="K163" s="3" t="s">
        <v>24</v>
      </c>
      <c r="L163" s="2">
        <f>IFERROR(IF('RAW DATA'!L163="",3,'RAW DATA'!L163),3)</f>
        <v>4</v>
      </c>
      <c r="M163" s="3" t="s">
        <v>25</v>
      </c>
      <c r="N163" s="3" t="s">
        <v>26</v>
      </c>
      <c r="O163" s="3">
        <v>1</v>
      </c>
      <c r="P163" s="3" t="s">
        <v>66</v>
      </c>
      <c r="Q163" s="10" t="s">
        <v>67</v>
      </c>
      <c r="R163" s="3" t="str">
        <f>IFERROR(TEXT('RAW DATA'!B163,"MMMM"),"UKNNOWN")</f>
        <v>July</v>
      </c>
      <c r="S163" s="5">
        <f>IFERROR(MONTH('RAW DATA'!B163),0)</f>
        <v>7</v>
      </c>
      <c r="T163" s="3" t="str">
        <f t="shared" si="4"/>
        <v>Q3</v>
      </c>
      <c r="U163" s="3" t="str">
        <f>IF('RAW DATA'!I163&gt;20,"High",IF('RAW DATA'!I163&gt;10,"Medium","Low"))</f>
        <v>Low</v>
      </c>
      <c r="V163" s="3" t="str">
        <f>IF('RAW DATA'!B163="","Yes","No")</f>
        <v>No</v>
      </c>
      <c r="W163" s="2" t="str">
        <f>IF(COUNTIF(A$2:A462,A163)&gt;1,"Duplicate","OK")</f>
        <v>OK</v>
      </c>
      <c r="X163">
        <f t="shared" si="5"/>
        <v>4</v>
      </c>
    </row>
    <row r="164" spans="1:24" x14ac:dyDescent="0.25">
      <c r="A164" s="2" t="s">
        <v>363</v>
      </c>
      <c r="B164" s="2" t="s">
        <v>364</v>
      </c>
      <c r="C164" s="2" t="s">
        <v>70</v>
      </c>
      <c r="D164" s="2" t="str">
        <f>PROPER('RAW DATA'!D164)</f>
        <v>Claire Mukamana</v>
      </c>
      <c r="E164" s="2" t="s">
        <v>33</v>
      </c>
      <c r="F164" s="2" t="s">
        <v>34</v>
      </c>
      <c r="G164" s="2" t="s">
        <v>22</v>
      </c>
      <c r="H164" s="2" t="s">
        <v>72</v>
      </c>
      <c r="I164" s="5">
        <f>IFERROR(IF('RAW DATA'!I164="",AVERAGE('RAW DATA'!I$2:I$301),'RAW DATA'!I164),0)</f>
        <v>5</v>
      </c>
      <c r="J164" s="2">
        <v>4</v>
      </c>
      <c r="K164" s="2" t="s">
        <v>24</v>
      </c>
      <c r="L164" s="2">
        <f>IFERROR(IF('RAW DATA'!L164="",3,'RAW DATA'!L164),3)</f>
        <v>4</v>
      </c>
      <c r="M164" s="2" t="s">
        <v>51</v>
      </c>
      <c r="N164" s="2" t="s">
        <v>26</v>
      </c>
      <c r="O164" s="2">
        <v>1</v>
      </c>
      <c r="P164" s="2" t="s">
        <v>66</v>
      </c>
      <c r="Q164" s="9" t="s">
        <v>73</v>
      </c>
      <c r="R164" s="3" t="str">
        <f>IFERROR(TEXT('RAW DATA'!B164,"MMMM"),"UKNNOWN")</f>
        <v>January</v>
      </c>
      <c r="S164" s="5">
        <f>IFERROR(MONTH('RAW DATA'!B164),0)</f>
        <v>1</v>
      </c>
      <c r="T164" s="2" t="str">
        <f t="shared" si="4"/>
        <v>Q1</v>
      </c>
      <c r="U164" s="2" t="str">
        <f>IF('RAW DATA'!I164&gt;20,"High",IF('RAW DATA'!I164&gt;10,"Medium","Low"))</f>
        <v>Low</v>
      </c>
      <c r="V164" s="2" t="str">
        <f>IF('RAW DATA'!B164="","Yes","No")</f>
        <v>No</v>
      </c>
      <c r="W164" s="2" t="str">
        <f>IF(COUNTIF(A$2:A463,A164)&gt;1,"Duplicate","OK")</f>
        <v>OK</v>
      </c>
      <c r="X164">
        <f t="shared" si="5"/>
        <v>4</v>
      </c>
    </row>
    <row r="165" spans="1:24" x14ac:dyDescent="0.25">
      <c r="A165" s="3" t="s">
        <v>365</v>
      </c>
      <c r="B165" s="3" t="s">
        <v>366</v>
      </c>
      <c r="C165" s="3" t="s">
        <v>63</v>
      </c>
      <c r="D165" s="2" t="str">
        <f>PROPER('RAW DATA'!D165)</f>
        <v>Henry Bizimana</v>
      </c>
      <c r="E165" s="3" t="s">
        <v>33</v>
      </c>
      <c r="F165" s="3" t="s">
        <v>34</v>
      </c>
      <c r="G165" s="3" t="s">
        <v>43</v>
      </c>
      <c r="H165" s="3" t="s">
        <v>80</v>
      </c>
      <c r="I165" s="5">
        <f>IFERROR(IF('RAW DATA'!I165="",AVERAGE('RAW DATA'!I$2:I$301),'RAW DATA'!I165),0)</f>
        <v>8.5</v>
      </c>
      <c r="J165" s="3">
        <v>5</v>
      </c>
      <c r="K165" s="3" t="s">
        <v>26</v>
      </c>
      <c r="L165" s="2">
        <f>IFERROR(IF('RAW DATA'!L165="",3,'RAW DATA'!L165),3)</f>
        <v>2</v>
      </c>
      <c r="M165" s="3" t="s">
        <v>25</v>
      </c>
      <c r="N165" s="3" t="s">
        <v>24</v>
      </c>
      <c r="O165" s="3">
        <v>3</v>
      </c>
      <c r="P165" s="3" t="s">
        <v>45</v>
      </c>
      <c r="Q165" s="10" t="s">
        <v>67</v>
      </c>
      <c r="R165" s="2" t="str">
        <f>IFERROR(TEXT('RAW DATA'!B165,"MMMM"),"UKNNOWN")</f>
        <v>May</v>
      </c>
      <c r="S165" s="5">
        <f>IFERROR(MONTH('RAW DATA'!B165),0)</f>
        <v>5</v>
      </c>
      <c r="T165" s="3" t="str">
        <f t="shared" si="4"/>
        <v>Q2</v>
      </c>
      <c r="U165" s="3" t="str">
        <f>IF('RAW DATA'!I165&gt;20,"High",IF('RAW DATA'!I165&gt;10,"Medium","Low"))</f>
        <v>Low</v>
      </c>
      <c r="V165" s="3" t="str">
        <f>IF('RAW DATA'!B165="","Yes","No")</f>
        <v>No</v>
      </c>
      <c r="W165" s="2" t="str">
        <f>IF(COUNTIF(A$2:A464,A165)&gt;1,"Duplicate","OK")</f>
        <v>OK</v>
      </c>
      <c r="X165">
        <f t="shared" si="5"/>
        <v>2</v>
      </c>
    </row>
    <row r="166" spans="1:24" x14ac:dyDescent="0.25">
      <c r="A166" s="2" t="s">
        <v>367</v>
      </c>
      <c r="B166" s="2" t="s">
        <v>199</v>
      </c>
      <c r="C166" s="2" t="s">
        <v>85</v>
      </c>
      <c r="D166" s="2" t="str">
        <f>PROPER('RAW DATA'!D166)</f>
        <v>Irene Mutesi</v>
      </c>
      <c r="E166" s="2" t="s">
        <v>20</v>
      </c>
      <c r="F166" s="2" t="s">
        <v>21</v>
      </c>
      <c r="G166" s="2" t="s">
        <v>43</v>
      </c>
      <c r="H166" s="2" t="s">
        <v>58</v>
      </c>
      <c r="I166" s="5">
        <f>IFERROR(IF('RAW DATA'!I166="",AVERAGE('RAW DATA'!I$2:I$301),'RAW DATA'!I166),0)</f>
        <v>7.4</v>
      </c>
      <c r="J166" s="2">
        <v>5.6</v>
      </c>
      <c r="K166" s="2" t="s">
        <v>24</v>
      </c>
      <c r="L166" s="2">
        <f>IFERROR(IF('RAW DATA'!L166="",3,'RAW DATA'!L166),3)</f>
        <v>3</v>
      </c>
      <c r="M166" s="2" t="s">
        <v>81</v>
      </c>
      <c r="N166" s="2" t="s">
        <v>26</v>
      </c>
      <c r="O166" s="2">
        <v>1</v>
      </c>
      <c r="P166" s="2" t="s">
        <v>27</v>
      </c>
      <c r="Q166" s="9" t="s">
        <v>87</v>
      </c>
      <c r="R166" s="3" t="str">
        <f>IFERROR(TEXT('RAW DATA'!B166,"MMMM"),"UKNNOWN")</f>
        <v>October</v>
      </c>
      <c r="S166" s="5">
        <f>IFERROR(MONTH('RAW DATA'!B166),0)</f>
        <v>10</v>
      </c>
      <c r="T166" s="2" t="str">
        <f t="shared" si="4"/>
        <v>Q4</v>
      </c>
      <c r="U166" s="2" t="str">
        <f>IF('RAW DATA'!I166&gt;20,"High",IF('RAW DATA'!I166&gt;10,"Medium","Low"))</f>
        <v>Low</v>
      </c>
      <c r="V166" s="2" t="str">
        <f>IF('RAW DATA'!B166="","Yes","No")</f>
        <v>No</v>
      </c>
      <c r="W166" s="2" t="str">
        <f>IF(COUNTIF(A$2:A465,A166)&gt;1,"Duplicate","OK")</f>
        <v>OK</v>
      </c>
      <c r="X166">
        <f t="shared" si="5"/>
        <v>3</v>
      </c>
    </row>
    <row r="167" spans="1:24" x14ac:dyDescent="0.25">
      <c r="A167" s="3" t="s">
        <v>368</v>
      </c>
      <c r="B167" s="3" t="s">
        <v>369</v>
      </c>
      <c r="C167" s="3" t="s">
        <v>31</v>
      </c>
      <c r="D167" s="2" t="str">
        <f>PROPER('RAW DATA'!D167)</f>
        <v>David Habimana</v>
      </c>
      <c r="E167" s="3" t="s">
        <v>33</v>
      </c>
      <c r="F167" s="3" t="s">
        <v>34</v>
      </c>
      <c r="G167" s="3" t="s">
        <v>41</v>
      </c>
      <c r="H167" s="3" t="s">
        <v>65</v>
      </c>
      <c r="I167" s="5">
        <f>IFERROR(IF('RAW DATA'!I167="",AVERAGE('RAW DATA'!I$2:I$301),'RAW DATA'!I167),0)</f>
        <v>8.1999999999999993</v>
      </c>
      <c r="J167" s="3">
        <v>3.6</v>
      </c>
      <c r="K167" s="3" t="s">
        <v>24</v>
      </c>
      <c r="L167" s="2">
        <f>IFERROR(IF('RAW DATA'!L167="",3,'RAW DATA'!L167),3)</f>
        <v>4</v>
      </c>
      <c r="M167" s="3" t="s">
        <v>51</v>
      </c>
      <c r="N167" s="3" t="s">
        <v>26</v>
      </c>
      <c r="O167" s="3">
        <v>1</v>
      </c>
      <c r="P167" s="3" t="s">
        <v>52</v>
      </c>
      <c r="Q167" s="10" t="s">
        <v>36</v>
      </c>
      <c r="R167" s="2" t="str">
        <f>IFERROR(TEXT('RAW DATA'!B167,"MMMM"),"UKNNOWN")</f>
        <v>March</v>
      </c>
      <c r="S167" s="5">
        <f>IFERROR(MONTH('RAW DATA'!B167),0)</f>
        <v>3</v>
      </c>
      <c r="T167" s="3" t="str">
        <f t="shared" si="4"/>
        <v>Q1</v>
      </c>
      <c r="U167" s="3" t="str">
        <f>IF('RAW DATA'!I167&gt;20,"High",IF('RAW DATA'!I167&gt;10,"Medium","Low"))</f>
        <v>Low</v>
      </c>
      <c r="V167" s="3" t="str">
        <f>IF('RAW DATA'!B167="","Yes","No")</f>
        <v>No</v>
      </c>
      <c r="W167" s="2" t="str">
        <f>IF(COUNTIF(A$2:A466,A167)&gt;1,"Duplicate","OK")</f>
        <v>OK</v>
      </c>
      <c r="X167">
        <f t="shared" si="5"/>
        <v>4</v>
      </c>
    </row>
    <row r="168" spans="1:24" x14ac:dyDescent="0.25">
      <c r="A168" s="2" t="s">
        <v>370</v>
      </c>
      <c r="B168" s="2" t="s">
        <v>371</v>
      </c>
      <c r="C168" s="2" t="s">
        <v>18</v>
      </c>
      <c r="D168" s="2" t="str">
        <f>PROPER('RAW DATA'!D168)</f>
        <v>Bob Nshimiyimana</v>
      </c>
      <c r="E168" s="2" t="s">
        <v>20</v>
      </c>
      <c r="F168" s="2" t="s">
        <v>21</v>
      </c>
      <c r="G168" s="2" t="s">
        <v>41</v>
      </c>
      <c r="H168" s="2" t="s">
        <v>58</v>
      </c>
      <c r="I168" s="5">
        <f>IFERROR(IF('RAW DATA'!I168="",AVERAGE('RAW DATA'!I$2:I$301),'RAW DATA'!I168),0)</f>
        <v>3.7</v>
      </c>
      <c r="J168" s="2">
        <v>11.4</v>
      </c>
      <c r="K168" s="2" t="s">
        <v>24</v>
      </c>
      <c r="L168" s="2">
        <f>IFERROR(IF('RAW DATA'!L168="",3,'RAW DATA'!L168),3)</f>
        <v>5</v>
      </c>
      <c r="M168" s="2" t="s">
        <v>81</v>
      </c>
      <c r="N168" s="2" t="s">
        <v>26</v>
      </c>
      <c r="O168" s="2">
        <v>1</v>
      </c>
      <c r="P168" s="2" t="s">
        <v>52</v>
      </c>
      <c r="Q168" s="9" t="s">
        <v>28</v>
      </c>
      <c r="R168" s="3" t="str">
        <f>IFERROR(TEXT('RAW DATA'!B168,"MMMM"),"UKNNOWN")</f>
        <v>February</v>
      </c>
      <c r="S168" s="5">
        <f>IFERROR(MONTH('RAW DATA'!B168),0)</f>
        <v>2</v>
      </c>
      <c r="T168" s="2" t="str">
        <f t="shared" si="4"/>
        <v>Q1</v>
      </c>
      <c r="U168" s="2" t="str">
        <f>IF('RAW DATA'!I168&gt;20,"High",IF('RAW DATA'!I168&gt;10,"Medium","Low"))</f>
        <v>Low</v>
      </c>
      <c r="V168" s="2" t="str">
        <f>IF('RAW DATA'!B168="","Yes","No")</f>
        <v>No</v>
      </c>
      <c r="W168" s="2" t="str">
        <f>IF(COUNTIF(A$2:A467,A168)&gt;1,"Duplicate","OK")</f>
        <v>OK</v>
      </c>
      <c r="X168">
        <f t="shared" si="5"/>
        <v>5</v>
      </c>
    </row>
    <row r="169" spans="1:24" x14ac:dyDescent="0.25">
      <c r="A169" s="3" t="s">
        <v>372</v>
      </c>
      <c r="B169" s="3" t="s">
        <v>373</v>
      </c>
      <c r="C169" s="3" t="s">
        <v>18</v>
      </c>
      <c r="D169" s="2" t="str">
        <f>PROPER('RAW DATA'!D169)</f>
        <v>Bob Nshimiyimana</v>
      </c>
      <c r="E169" s="3" t="s">
        <v>20</v>
      </c>
      <c r="F169" s="3" t="s">
        <v>21</v>
      </c>
      <c r="G169" s="3" t="s">
        <v>22</v>
      </c>
      <c r="H169" s="3" t="s">
        <v>23</v>
      </c>
      <c r="I169" s="5">
        <f>IFERROR(IF('RAW DATA'!I169="",AVERAGE('RAW DATA'!I$2:I$301),'RAW DATA'!I169),0)</f>
        <v>3.7</v>
      </c>
      <c r="J169" s="3">
        <v>4.9000000000000004</v>
      </c>
      <c r="K169" s="3" t="s">
        <v>24</v>
      </c>
      <c r="L169" s="2">
        <f>IFERROR(IF('RAW DATA'!L169="",3,'RAW DATA'!L169),3)</f>
        <v>4</v>
      </c>
      <c r="M169" s="3" t="s">
        <v>25</v>
      </c>
      <c r="N169" s="3" t="s">
        <v>26</v>
      </c>
      <c r="O169" s="3">
        <v>0</v>
      </c>
      <c r="P169" s="3" t="s">
        <v>13</v>
      </c>
      <c r="Q169" s="10" t="s">
        <v>28</v>
      </c>
      <c r="R169" s="2" t="str">
        <f>IFERROR(TEXT('RAW DATA'!B169,"MMMM"),"UKNNOWN")</f>
        <v>June</v>
      </c>
      <c r="S169" s="5">
        <f>IFERROR(MONTH('RAW DATA'!B169),0)</f>
        <v>6</v>
      </c>
      <c r="T169" s="3" t="str">
        <f t="shared" si="4"/>
        <v>Q2</v>
      </c>
      <c r="U169" s="3" t="str">
        <f>IF('RAW DATA'!I169&gt;20,"High",IF('RAW DATA'!I169&gt;10,"Medium","Low"))</f>
        <v>Low</v>
      </c>
      <c r="V169" s="3" t="str">
        <f>IF('RAW DATA'!B169="","Yes","No")</f>
        <v>No</v>
      </c>
      <c r="W169" s="2" t="str">
        <f>IF(COUNTIF(A$2:A468,A169)&gt;1,"Duplicate","OK")</f>
        <v>OK</v>
      </c>
      <c r="X169">
        <f t="shared" si="5"/>
        <v>4</v>
      </c>
    </row>
    <row r="170" spans="1:24" x14ac:dyDescent="0.25">
      <c r="A170" s="2" t="s">
        <v>374</v>
      </c>
      <c r="B170" s="2" t="s">
        <v>375</v>
      </c>
      <c r="C170" s="2" t="s">
        <v>70</v>
      </c>
      <c r="D170" s="2" t="str">
        <f>PROPER('RAW DATA'!D170)</f>
        <v>Claire Mukamana</v>
      </c>
      <c r="E170" s="2" t="s">
        <v>33</v>
      </c>
      <c r="F170" s="2" t="s">
        <v>34</v>
      </c>
      <c r="G170" s="2" t="s">
        <v>41</v>
      </c>
      <c r="H170" s="2" t="s">
        <v>35</v>
      </c>
      <c r="I170" s="5">
        <f>IFERROR(IF('RAW DATA'!I170="",AVERAGE('RAW DATA'!I$2:I$301),'RAW DATA'!I170),0)</f>
        <v>7.4</v>
      </c>
      <c r="J170" s="2">
        <v>5.0999999999999996</v>
      </c>
      <c r="K170" s="2" t="s">
        <v>24</v>
      </c>
      <c r="L170" s="2">
        <f>IFERROR(IF('RAW DATA'!L170="",3,'RAW DATA'!L170),3)</f>
        <v>5</v>
      </c>
      <c r="M170" s="2" t="s">
        <v>25</v>
      </c>
      <c r="N170" s="2" t="s">
        <v>26</v>
      </c>
      <c r="O170" s="2">
        <v>0</v>
      </c>
      <c r="P170" s="2" t="s">
        <v>66</v>
      </c>
      <c r="Q170" s="9" t="s">
        <v>73</v>
      </c>
      <c r="R170" s="3" t="str">
        <f>IFERROR(TEXT('RAW DATA'!B170,"MMMM"),"UKNNOWN")</f>
        <v>September</v>
      </c>
      <c r="S170" s="5">
        <f>IFERROR(MONTH('RAW DATA'!B170),0)</f>
        <v>9</v>
      </c>
      <c r="T170" s="2" t="str">
        <f t="shared" si="4"/>
        <v>Q3</v>
      </c>
      <c r="U170" s="2" t="str">
        <f>IF('RAW DATA'!I170&gt;20,"High",IF('RAW DATA'!I170&gt;10,"Medium","Low"))</f>
        <v>Low</v>
      </c>
      <c r="V170" s="2" t="str">
        <f>IF('RAW DATA'!B170="","Yes","No")</f>
        <v>No</v>
      </c>
      <c r="W170" s="2" t="str">
        <f>IF(COUNTIF(A$2:A469,A170)&gt;1,"Duplicate","OK")</f>
        <v>OK</v>
      </c>
      <c r="X170">
        <f t="shared" si="5"/>
        <v>5</v>
      </c>
    </row>
    <row r="171" spans="1:24" x14ac:dyDescent="0.25">
      <c r="A171" s="3" t="s">
        <v>376</v>
      </c>
      <c r="B171" s="3" t="s">
        <v>277</v>
      </c>
      <c r="C171" s="3" t="s">
        <v>31</v>
      </c>
      <c r="D171" s="2" t="str">
        <f>PROPER('RAW DATA'!D171)</f>
        <v>David Habimana</v>
      </c>
      <c r="E171" s="3" t="s">
        <v>33</v>
      </c>
      <c r="F171" s="3" t="s">
        <v>34</v>
      </c>
      <c r="G171" s="3" t="s">
        <v>43</v>
      </c>
      <c r="H171" s="3" t="s">
        <v>65</v>
      </c>
      <c r="I171" s="5">
        <f>IFERROR(IF('RAW DATA'!I171="",AVERAGE('RAW DATA'!I$2:I$301),'RAW DATA'!I171),0)</f>
        <v>5.5</v>
      </c>
      <c r="J171" s="3">
        <v>2.1</v>
      </c>
      <c r="K171" s="3" t="s">
        <v>26</v>
      </c>
      <c r="L171" s="2">
        <f>IFERROR(IF('RAW DATA'!L171="",3,'RAW DATA'!L171),3)</f>
        <v>2</v>
      </c>
      <c r="M171" s="3" t="s">
        <v>81</v>
      </c>
      <c r="N171" s="3" t="s">
        <v>24</v>
      </c>
      <c r="O171" s="3">
        <v>0</v>
      </c>
      <c r="P171" s="3" t="s">
        <v>27</v>
      </c>
      <c r="Q171" s="10" t="s">
        <v>36</v>
      </c>
      <c r="R171" s="2" t="str">
        <f>IFERROR(TEXT('RAW DATA'!B171,"MMMM"),"UKNNOWN")</f>
        <v>May</v>
      </c>
      <c r="S171" s="5">
        <f>IFERROR(MONTH('RAW DATA'!B171),0)</f>
        <v>5</v>
      </c>
      <c r="T171" s="3" t="str">
        <f t="shared" si="4"/>
        <v>Q2</v>
      </c>
      <c r="U171" s="3" t="str">
        <f>IF('RAW DATA'!I171&gt;20,"High",IF('RAW DATA'!I171&gt;10,"Medium","Low"))</f>
        <v>Low</v>
      </c>
      <c r="V171" s="3" t="str">
        <f>IF('RAW DATA'!B171="","Yes","No")</f>
        <v>No</v>
      </c>
      <c r="W171" s="2" t="str">
        <f>IF(COUNTIF(A$2:A470,A171)&gt;1,"Duplicate","OK")</f>
        <v>OK</v>
      </c>
      <c r="X171">
        <f t="shared" si="5"/>
        <v>2</v>
      </c>
    </row>
    <row r="172" spans="1:24" x14ac:dyDescent="0.25">
      <c r="A172" s="2" t="s">
        <v>377</v>
      </c>
      <c r="B172" s="2" t="s">
        <v>378</v>
      </c>
      <c r="C172" s="2" t="s">
        <v>56</v>
      </c>
      <c r="D172" s="2" t="str">
        <f>PROPER('RAW DATA'!D172)</f>
        <v>John Gasana</v>
      </c>
      <c r="E172" s="2" t="s">
        <v>41</v>
      </c>
      <c r="F172" s="2" t="s">
        <v>42</v>
      </c>
      <c r="G172" s="2" t="s">
        <v>43</v>
      </c>
      <c r="H172" s="2" t="s">
        <v>23</v>
      </c>
      <c r="I172" s="5">
        <f>IFERROR(IF('RAW DATA'!I172="",AVERAGE('RAW DATA'!I$2:I$301),'RAW DATA'!I172),0)</f>
        <v>7.2</v>
      </c>
      <c r="J172" s="2">
        <v>1.3</v>
      </c>
      <c r="K172" s="2" t="s">
        <v>24</v>
      </c>
      <c r="L172" s="2">
        <f>IFERROR(IF('RAW DATA'!L172="",3,'RAW DATA'!L172),3)</f>
        <v>5</v>
      </c>
      <c r="M172" s="2" t="s">
        <v>51</v>
      </c>
      <c r="N172" s="2" t="s">
        <v>26</v>
      </c>
      <c r="O172" s="2">
        <v>0</v>
      </c>
      <c r="P172" s="2" t="s">
        <v>45</v>
      </c>
      <c r="Q172" s="9" t="s">
        <v>60</v>
      </c>
      <c r="R172" s="3" t="str">
        <f>IFERROR(TEXT('RAW DATA'!B172,"MMMM"),"UKNNOWN")</f>
        <v>December</v>
      </c>
      <c r="S172" s="5">
        <f>IFERROR(MONTH('RAW DATA'!B172),0)</f>
        <v>12</v>
      </c>
      <c r="T172" s="2" t="str">
        <f t="shared" si="4"/>
        <v>Q4</v>
      </c>
      <c r="U172" s="2" t="str">
        <f>IF('RAW DATA'!I172&gt;20,"High",IF('RAW DATA'!I172&gt;10,"Medium","Low"))</f>
        <v>Low</v>
      </c>
      <c r="V172" s="2" t="str">
        <f>IF('RAW DATA'!B172="","Yes","No")</f>
        <v>No</v>
      </c>
      <c r="W172" s="2" t="str">
        <f>IF(COUNTIF(A$2:A471,A172)&gt;1,"Duplicate","OK")</f>
        <v>OK</v>
      </c>
      <c r="X172">
        <f t="shared" si="5"/>
        <v>5</v>
      </c>
    </row>
    <row r="173" spans="1:24" x14ac:dyDescent="0.25">
      <c r="A173" s="3" t="s">
        <v>379</v>
      </c>
      <c r="B173" s="3" t="s">
        <v>117</v>
      </c>
      <c r="C173" s="3" t="s">
        <v>31</v>
      </c>
      <c r="D173" s="2" t="str">
        <f>PROPER('RAW DATA'!D173)</f>
        <v>David Habimana</v>
      </c>
      <c r="E173" s="3" t="s">
        <v>33</v>
      </c>
      <c r="F173" s="3" t="s">
        <v>34</v>
      </c>
      <c r="G173" s="3" t="s">
        <v>43</v>
      </c>
      <c r="H173" s="3" t="s">
        <v>35</v>
      </c>
      <c r="I173" s="5">
        <f>IFERROR(IF('RAW DATA'!I173="",AVERAGE('RAW DATA'!I$2:I$301),'RAW DATA'!I173),0)</f>
        <v>8.3000000000000007</v>
      </c>
      <c r="J173" s="3">
        <v>1.9</v>
      </c>
      <c r="K173" s="3" t="s">
        <v>24</v>
      </c>
      <c r="L173" s="2">
        <f>IFERROR(IF('RAW DATA'!L173="",3,'RAW DATA'!L173),3)</f>
        <v>5</v>
      </c>
      <c r="M173" s="3" t="s">
        <v>59</v>
      </c>
      <c r="N173" s="3" t="s">
        <v>26</v>
      </c>
      <c r="O173" s="3">
        <v>1</v>
      </c>
      <c r="P173" s="3" t="s">
        <v>27</v>
      </c>
      <c r="Q173" s="10" t="s">
        <v>36</v>
      </c>
      <c r="R173" s="2" t="str">
        <f>IFERROR(TEXT('RAW DATA'!B173,"MMMM"),"UKNNOWN")</f>
        <v>May</v>
      </c>
      <c r="S173" s="5">
        <f>IFERROR(MONTH('RAW DATA'!B173),0)</f>
        <v>5</v>
      </c>
      <c r="T173" s="3" t="str">
        <f t="shared" si="4"/>
        <v>Q2</v>
      </c>
      <c r="U173" s="3" t="str">
        <f>IF('RAW DATA'!I173&gt;20,"High",IF('RAW DATA'!I173&gt;10,"Medium","Low"))</f>
        <v>Low</v>
      </c>
      <c r="V173" s="3" t="str">
        <f>IF('RAW DATA'!B173="","Yes","No")</f>
        <v>No</v>
      </c>
      <c r="W173" s="2" t="str">
        <f>IF(COUNTIF(A$2:A472,A173)&gt;1,"Duplicate","OK")</f>
        <v>OK</v>
      </c>
      <c r="X173">
        <f t="shared" si="5"/>
        <v>5</v>
      </c>
    </row>
    <row r="174" spans="1:24" x14ac:dyDescent="0.25">
      <c r="A174" s="2" t="s">
        <v>380</v>
      </c>
      <c r="B174" s="2" t="s">
        <v>69</v>
      </c>
      <c r="C174" s="2" t="s">
        <v>39</v>
      </c>
      <c r="D174" s="2" t="str">
        <f>PROPER('RAW DATA'!D174)</f>
        <v>Grace Uwase</v>
      </c>
      <c r="E174" s="2" t="s">
        <v>41</v>
      </c>
      <c r="F174" s="2" t="s">
        <v>42</v>
      </c>
      <c r="G174" s="2" t="s">
        <v>43</v>
      </c>
      <c r="H174" s="2" t="s">
        <v>80</v>
      </c>
      <c r="I174" s="5">
        <f>IFERROR(IF('RAW DATA'!I174="",AVERAGE('RAW DATA'!I$2:I$301),'RAW DATA'!I174),0)</f>
        <v>7.7</v>
      </c>
      <c r="J174" s="2">
        <v>4.7</v>
      </c>
      <c r="K174" s="2" t="s">
        <v>26</v>
      </c>
      <c r="L174" s="2">
        <f>IFERROR(IF('RAW DATA'!L174="",3,'RAW DATA'!L174),3)</f>
        <v>2</v>
      </c>
      <c r="M174" s="2" t="s">
        <v>51</v>
      </c>
      <c r="N174" s="2" t="s">
        <v>26</v>
      </c>
      <c r="O174" s="2">
        <v>1</v>
      </c>
      <c r="P174" s="2" t="s">
        <v>52</v>
      </c>
      <c r="Q174" s="9" t="s">
        <v>46</v>
      </c>
      <c r="R174" s="3" t="str">
        <f>IFERROR(TEXT('RAW DATA'!B174,"MMMM"),"UKNNOWN")</f>
        <v>May</v>
      </c>
      <c r="S174" s="5">
        <f>IFERROR(MONTH('RAW DATA'!B174),0)</f>
        <v>5</v>
      </c>
      <c r="T174" s="2" t="str">
        <f t="shared" si="4"/>
        <v>Q2</v>
      </c>
      <c r="U174" s="2" t="str">
        <f>IF('RAW DATA'!I174&gt;20,"High",IF('RAW DATA'!I174&gt;10,"Medium","Low"))</f>
        <v>Low</v>
      </c>
      <c r="V174" s="2" t="str">
        <f>IF('RAW DATA'!B174="","Yes","No")</f>
        <v>No</v>
      </c>
      <c r="W174" s="2" t="str">
        <f>IF(COUNTIF(A$2:A473,A174)&gt;1,"Duplicate","OK")</f>
        <v>OK</v>
      </c>
      <c r="X174">
        <f t="shared" si="5"/>
        <v>2</v>
      </c>
    </row>
    <row r="175" spans="1:24" x14ac:dyDescent="0.25">
      <c r="A175" s="3" t="s">
        <v>381</v>
      </c>
      <c r="B175" s="3" t="s">
        <v>77</v>
      </c>
      <c r="C175" s="3" t="s">
        <v>49</v>
      </c>
      <c r="D175" s="2" t="str">
        <f>PROPER('RAW DATA'!D175)</f>
        <v>Frank Nzeyimana</v>
      </c>
      <c r="E175" s="3" t="s">
        <v>41</v>
      </c>
      <c r="F175" s="3" t="s">
        <v>42</v>
      </c>
      <c r="G175" s="3" t="s">
        <v>43</v>
      </c>
      <c r="H175" s="3" t="s">
        <v>80</v>
      </c>
      <c r="I175" s="5">
        <f>IFERROR(IF('RAW DATA'!I175="",AVERAGE('RAW DATA'!I$2:I$301),'RAW DATA'!I175),0)</f>
        <v>9.6999999999999993</v>
      </c>
      <c r="J175" s="3">
        <v>2.7</v>
      </c>
      <c r="K175" s="3" t="s">
        <v>24</v>
      </c>
      <c r="L175" s="2">
        <f>IFERROR(IF('RAW DATA'!L175="",3,'RAW DATA'!L175),3)</f>
        <v>5</v>
      </c>
      <c r="M175" s="3" t="s">
        <v>51</v>
      </c>
      <c r="N175" s="3" t="s">
        <v>26</v>
      </c>
      <c r="O175" s="3">
        <v>1</v>
      </c>
      <c r="P175" s="3" t="s">
        <v>52</v>
      </c>
      <c r="Q175" s="10" t="s">
        <v>53</v>
      </c>
      <c r="R175" s="2" t="str">
        <f>IFERROR(TEXT('RAW DATA'!B175,"MMMM"),"UKNNOWN")</f>
        <v>March</v>
      </c>
      <c r="S175" s="5">
        <f>IFERROR(MONTH('RAW DATA'!B175),0)</f>
        <v>3</v>
      </c>
      <c r="T175" s="3" t="str">
        <f t="shared" si="4"/>
        <v>Q1</v>
      </c>
      <c r="U175" s="3" t="str">
        <f>IF('RAW DATA'!I175&gt;20,"High",IF('RAW DATA'!I175&gt;10,"Medium","Low"))</f>
        <v>Low</v>
      </c>
      <c r="V175" s="3" t="str">
        <f>IF('RAW DATA'!B175="","Yes","No")</f>
        <v>No</v>
      </c>
      <c r="W175" s="2" t="str">
        <f>IF(COUNTIF(A$2:A474,A175)&gt;1,"Duplicate","OK")</f>
        <v>OK</v>
      </c>
      <c r="X175">
        <f t="shared" si="5"/>
        <v>5</v>
      </c>
    </row>
    <row r="176" spans="1:24" x14ac:dyDescent="0.25">
      <c r="A176" s="2" t="s">
        <v>382</v>
      </c>
      <c r="B176" s="2" t="s">
        <v>383</v>
      </c>
      <c r="C176" s="2" t="s">
        <v>18</v>
      </c>
      <c r="D176" s="2" t="str">
        <f>PROPER('RAW DATA'!D176)</f>
        <v>Bob Nshimiyimana</v>
      </c>
      <c r="E176" s="2" t="s">
        <v>20</v>
      </c>
      <c r="F176" s="2" t="s">
        <v>21</v>
      </c>
      <c r="G176" s="2" t="s">
        <v>43</v>
      </c>
      <c r="H176" s="2" t="s">
        <v>35</v>
      </c>
      <c r="I176" s="5">
        <f>IFERROR(IF('RAW DATA'!I176="",AVERAGE('RAW DATA'!I$2:I$301),'RAW DATA'!I176),0)</f>
        <v>6.6</v>
      </c>
      <c r="J176" s="2">
        <v>6</v>
      </c>
      <c r="K176" s="2" t="s">
        <v>24</v>
      </c>
      <c r="L176" s="2">
        <f>IFERROR(IF('RAW DATA'!L176="",3,'RAW DATA'!L176),3)</f>
        <v>3</v>
      </c>
      <c r="M176" s="2" t="s">
        <v>59</v>
      </c>
      <c r="N176" s="2" t="s">
        <v>26</v>
      </c>
      <c r="O176" s="2">
        <v>0</v>
      </c>
      <c r="P176" s="2" t="s">
        <v>45</v>
      </c>
      <c r="Q176" s="9" t="s">
        <v>28</v>
      </c>
      <c r="R176" s="3" t="str">
        <f>IFERROR(TEXT('RAW DATA'!B176,"MMMM"),"UKNNOWN")</f>
        <v>October</v>
      </c>
      <c r="S176" s="5">
        <f>IFERROR(MONTH('RAW DATA'!B176),0)</f>
        <v>10</v>
      </c>
      <c r="T176" s="2" t="str">
        <f t="shared" si="4"/>
        <v>Q4</v>
      </c>
      <c r="U176" s="2" t="str">
        <f>IF('RAW DATA'!I176&gt;20,"High",IF('RAW DATA'!I176&gt;10,"Medium","Low"))</f>
        <v>Low</v>
      </c>
      <c r="V176" s="2" t="str">
        <f>IF('RAW DATA'!B176="","Yes","No")</f>
        <v>No</v>
      </c>
      <c r="W176" s="2" t="str">
        <f>IF(COUNTIF(A$2:A475,A176)&gt;1,"Duplicate","OK")</f>
        <v>OK</v>
      </c>
      <c r="X176">
        <f t="shared" si="5"/>
        <v>3</v>
      </c>
    </row>
    <row r="177" spans="1:24" x14ac:dyDescent="0.25">
      <c r="A177" s="3" t="s">
        <v>384</v>
      </c>
      <c r="B177" s="3" t="s">
        <v>385</v>
      </c>
      <c r="C177" s="3" t="s">
        <v>39</v>
      </c>
      <c r="D177" s="2" t="str">
        <f>PROPER('RAW DATA'!D177)</f>
        <v>Grace Uwase</v>
      </c>
      <c r="E177" s="3" t="s">
        <v>41</v>
      </c>
      <c r="F177" s="3" t="s">
        <v>42</v>
      </c>
      <c r="G177" s="3" t="s">
        <v>43</v>
      </c>
      <c r="H177" s="3" t="s">
        <v>95</v>
      </c>
      <c r="I177" s="5">
        <f>IFERROR(IF('RAW DATA'!I177="",AVERAGE('RAW DATA'!I$2:I$301),'RAW DATA'!I177),0)</f>
        <v>7.6041237113402103</v>
      </c>
      <c r="J177" s="3">
        <v>8</v>
      </c>
      <c r="K177" s="3" t="s">
        <v>26</v>
      </c>
      <c r="L177" s="2">
        <f>IFERROR(IF('RAW DATA'!L177="",3,'RAW DATA'!L177),3)</f>
        <v>3</v>
      </c>
      <c r="M177" s="3" t="s">
        <v>51</v>
      </c>
      <c r="N177" s="3" t="s">
        <v>26</v>
      </c>
      <c r="O177" s="3">
        <v>1</v>
      </c>
      <c r="P177" s="3" t="s">
        <v>13</v>
      </c>
      <c r="Q177" s="10" t="s">
        <v>46</v>
      </c>
      <c r="R177" s="2" t="str">
        <f>IFERROR(TEXT('RAW DATA'!B177,"MMMM"),"UKNNOWN")</f>
        <v>November</v>
      </c>
      <c r="S177" s="5">
        <f>IFERROR(MONTH('RAW DATA'!B177),0)</f>
        <v>11</v>
      </c>
      <c r="T177" s="3" t="str">
        <f t="shared" si="4"/>
        <v>Q4</v>
      </c>
      <c r="U177" s="3" t="str">
        <f>IF('RAW DATA'!I177&gt;20,"High",IF('RAW DATA'!I177&gt;10,"Medium","Low"))</f>
        <v>Low</v>
      </c>
      <c r="V177" s="3" t="str">
        <f>IF('RAW DATA'!B177="","Yes","No")</f>
        <v>No</v>
      </c>
      <c r="W177" s="2" t="str">
        <f>IF(COUNTIF(A$2:A476,A177)&gt;1,"Duplicate","OK")</f>
        <v>OK</v>
      </c>
      <c r="X177">
        <f t="shared" si="5"/>
        <v>3</v>
      </c>
    </row>
    <row r="178" spans="1:24" x14ac:dyDescent="0.25">
      <c r="A178" s="2" t="s">
        <v>387</v>
      </c>
      <c r="B178" s="2" t="s">
        <v>388</v>
      </c>
      <c r="C178" s="2" t="s">
        <v>63</v>
      </c>
      <c r="D178" s="2" t="str">
        <f>PROPER('RAW DATA'!D178)</f>
        <v>Henry Bizimana</v>
      </c>
      <c r="E178" s="2" t="s">
        <v>33</v>
      </c>
      <c r="F178" s="2" t="s">
        <v>34</v>
      </c>
      <c r="G178" s="2" t="s">
        <v>43</v>
      </c>
      <c r="H178" s="2" t="s">
        <v>80</v>
      </c>
      <c r="I178" s="5">
        <f>IFERROR(IF('RAW DATA'!I178="",AVERAGE('RAW DATA'!I$2:I$301),'RAW DATA'!I178),0)</f>
        <v>10.6</v>
      </c>
      <c r="J178" s="2">
        <v>2.4</v>
      </c>
      <c r="K178" s="2" t="s">
        <v>26</v>
      </c>
      <c r="L178" s="2">
        <f>IFERROR(IF('RAW DATA'!L178="",3,'RAW DATA'!L178),3)</f>
        <v>2</v>
      </c>
      <c r="M178" s="2" t="s">
        <v>25</v>
      </c>
      <c r="N178" s="2" t="s">
        <v>24</v>
      </c>
      <c r="O178" s="2">
        <v>3</v>
      </c>
      <c r="P178" s="2" t="s">
        <v>13</v>
      </c>
      <c r="Q178" s="9" t="s">
        <v>67</v>
      </c>
      <c r="R178" s="3" t="str">
        <f>IFERROR(TEXT('RAW DATA'!B178,"MMMM"),"UKNNOWN")</f>
        <v>August</v>
      </c>
      <c r="S178" s="5">
        <f>IFERROR(MONTH('RAW DATA'!B178),0)</f>
        <v>8</v>
      </c>
      <c r="T178" s="2" t="str">
        <f t="shared" si="4"/>
        <v>Q3</v>
      </c>
      <c r="U178" s="2" t="str">
        <f>IF('RAW DATA'!I178&gt;20,"High",IF('RAW DATA'!I178&gt;10,"Medium","Low"))</f>
        <v>Medium</v>
      </c>
      <c r="V178" s="2" t="str">
        <f>IF('RAW DATA'!B178="","Yes","No")</f>
        <v>No</v>
      </c>
      <c r="W178" s="2" t="str">
        <f>IF(COUNTIF(A$2:A477,A178)&gt;1,"Duplicate","OK")</f>
        <v>OK</v>
      </c>
      <c r="X178">
        <f t="shared" si="5"/>
        <v>2</v>
      </c>
    </row>
    <row r="179" spans="1:24" x14ac:dyDescent="0.25">
      <c r="A179" s="3" t="s">
        <v>389</v>
      </c>
      <c r="B179" s="3" t="s">
        <v>177</v>
      </c>
      <c r="C179" s="3" t="s">
        <v>78</v>
      </c>
      <c r="D179" s="2" t="str">
        <f>PROPER('RAW DATA'!D179)</f>
        <v>Eve Ingabire</v>
      </c>
      <c r="E179" s="3" t="s">
        <v>20</v>
      </c>
      <c r="F179" s="3" t="s">
        <v>21</v>
      </c>
      <c r="G179" s="3" t="s">
        <v>41</v>
      </c>
      <c r="H179" s="3" t="s">
        <v>23</v>
      </c>
      <c r="I179" s="5">
        <f>IFERROR(IF('RAW DATA'!I179="",AVERAGE('RAW DATA'!I$2:I$301),'RAW DATA'!I179),0)</f>
        <v>1.8</v>
      </c>
      <c r="J179" s="3">
        <v>4.0999999999999996</v>
      </c>
      <c r="K179" s="3" t="s">
        <v>24</v>
      </c>
      <c r="L179" s="2">
        <f>IFERROR(IF('RAW DATA'!L179="",3,'RAW DATA'!L179),3)</f>
        <v>5</v>
      </c>
      <c r="M179" s="3" t="s">
        <v>25</v>
      </c>
      <c r="N179" s="3" t="s">
        <v>26</v>
      </c>
      <c r="O179" s="3">
        <v>1</v>
      </c>
      <c r="P179" s="3" t="s">
        <v>66</v>
      </c>
      <c r="Q179" s="10" t="s">
        <v>82</v>
      </c>
      <c r="R179" s="2" t="str">
        <f>IFERROR(TEXT('RAW DATA'!B179,"MMMM"),"UKNNOWN")</f>
        <v>January</v>
      </c>
      <c r="S179" s="5">
        <f>IFERROR(MONTH('RAW DATA'!B179),0)</f>
        <v>1</v>
      </c>
      <c r="T179" s="3" t="str">
        <f t="shared" si="4"/>
        <v>Q1</v>
      </c>
      <c r="U179" s="3" t="str">
        <f>IF('RAW DATA'!I179&gt;20,"High",IF('RAW DATA'!I179&gt;10,"Medium","Low"))</f>
        <v>Low</v>
      </c>
      <c r="V179" s="3" t="str">
        <f>IF('RAW DATA'!B179="","Yes","No")</f>
        <v>No</v>
      </c>
      <c r="W179" s="2" t="str">
        <f>IF(COUNTIF(A$2:A478,A179)&gt;1,"Duplicate","OK")</f>
        <v>OK</v>
      </c>
      <c r="X179">
        <f t="shared" si="5"/>
        <v>5</v>
      </c>
    </row>
    <row r="180" spans="1:24" x14ac:dyDescent="0.25">
      <c r="A180" s="2" t="s">
        <v>390</v>
      </c>
      <c r="B180" s="2" t="s">
        <v>391</v>
      </c>
      <c r="C180" s="2" t="s">
        <v>70</v>
      </c>
      <c r="D180" s="2" t="str">
        <f>PROPER('RAW DATA'!D180)</f>
        <v>Claire Mukamana</v>
      </c>
      <c r="E180" s="2" t="s">
        <v>33</v>
      </c>
      <c r="F180" s="2" t="s">
        <v>34</v>
      </c>
      <c r="G180" s="2" t="s">
        <v>22</v>
      </c>
      <c r="H180" s="2" t="s">
        <v>23</v>
      </c>
      <c r="I180" s="5">
        <f>IFERROR(IF('RAW DATA'!I180="",AVERAGE('RAW DATA'!I$2:I$301),'RAW DATA'!I180),0)</f>
        <v>11.6</v>
      </c>
      <c r="J180" s="2">
        <v>1.8</v>
      </c>
      <c r="K180" s="2" t="s">
        <v>24</v>
      </c>
      <c r="L180" s="2">
        <f>IFERROR(IF('RAW DATA'!L180="",3,'RAW DATA'!L180),3)</f>
        <v>5</v>
      </c>
      <c r="M180" s="2" t="s">
        <v>51</v>
      </c>
      <c r="N180" s="2" t="s">
        <v>26</v>
      </c>
      <c r="O180" s="2">
        <v>1</v>
      </c>
      <c r="P180" s="2" t="s">
        <v>45</v>
      </c>
      <c r="Q180" s="9" t="s">
        <v>73</v>
      </c>
      <c r="R180" s="3" t="str">
        <f>IFERROR(TEXT('RAW DATA'!B180,"MMMM"),"UKNNOWN")</f>
        <v>August</v>
      </c>
      <c r="S180" s="5">
        <f>IFERROR(MONTH('RAW DATA'!B180),0)</f>
        <v>8</v>
      </c>
      <c r="T180" s="2" t="str">
        <f t="shared" si="4"/>
        <v>Q3</v>
      </c>
      <c r="U180" s="2" t="str">
        <f>IF('RAW DATA'!I180&gt;20,"High",IF('RAW DATA'!I180&gt;10,"Medium","Low"))</f>
        <v>Medium</v>
      </c>
      <c r="V180" s="2" t="str">
        <f>IF('RAW DATA'!B180="","Yes","No")</f>
        <v>No</v>
      </c>
      <c r="W180" s="2" t="str">
        <f>IF(COUNTIF(A$2:A479,A180)&gt;1,"Duplicate","OK")</f>
        <v>OK</v>
      </c>
      <c r="X180">
        <f t="shared" si="5"/>
        <v>5</v>
      </c>
    </row>
    <row r="181" spans="1:24" x14ac:dyDescent="0.25">
      <c r="A181" s="3" t="s">
        <v>392</v>
      </c>
      <c r="B181" s="3" t="s">
        <v>383</v>
      </c>
      <c r="C181" s="3" t="s">
        <v>31</v>
      </c>
      <c r="D181" s="2" t="str">
        <f>PROPER('RAW DATA'!D181)</f>
        <v>David Habimana</v>
      </c>
      <c r="E181" s="3" t="s">
        <v>33</v>
      </c>
      <c r="F181" s="3" t="s">
        <v>34</v>
      </c>
      <c r="G181" s="3" t="s">
        <v>43</v>
      </c>
      <c r="H181" s="3" t="s">
        <v>58</v>
      </c>
      <c r="I181" s="5">
        <f>IFERROR(IF('RAW DATA'!I181="",AVERAGE('RAW DATA'!I$2:I$301),'RAW DATA'!I181),0)</f>
        <v>6.4</v>
      </c>
      <c r="J181" s="3">
        <v>5.3</v>
      </c>
      <c r="K181" s="3" t="s">
        <v>24</v>
      </c>
      <c r="L181" s="2">
        <f>IFERROR(IF('RAW DATA'!L181="",3,'RAW DATA'!L181),3)</f>
        <v>4</v>
      </c>
      <c r="M181" s="3" t="s">
        <v>81</v>
      </c>
      <c r="N181" s="3" t="s">
        <v>26</v>
      </c>
      <c r="O181" s="3">
        <v>1</v>
      </c>
      <c r="P181" s="3" t="s">
        <v>27</v>
      </c>
      <c r="Q181" s="10" t="s">
        <v>36</v>
      </c>
      <c r="R181" s="2" t="str">
        <f>IFERROR(TEXT('RAW DATA'!B181,"MMMM"),"UKNNOWN")</f>
        <v>October</v>
      </c>
      <c r="S181" s="5">
        <f>IFERROR(MONTH('RAW DATA'!B181),0)</f>
        <v>10</v>
      </c>
      <c r="T181" s="3" t="str">
        <f t="shared" si="4"/>
        <v>Q4</v>
      </c>
      <c r="U181" s="3" t="str">
        <f>IF('RAW DATA'!I181&gt;20,"High",IF('RAW DATA'!I181&gt;10,"Medium","Low"))</f>
        <v>Low</v>
      </c>
      <c r="V181" s="3" t="str">
        <f>IF('RAW DATA'!B181="","Yes","No")</f>
        <v>No</v>
      </c>
      <c r="W181" s="2" t="str">
        <f>IF(COUNTIF(A$2:A480,A181)&gt;1,"Duplicate","OK")</f>
        <v>OK</v>
      </c>
      <c r="X181">
        <f t="shared" si="5"/>
        <v>4</v>
      </c>
    </row>
    <row r="182" spans="1:24" x14ac:dyDescent="0.25">
      <c r="A182" s="2" t="s">
        <v>393</v>
      </c>
      <c r="B182" s="2" t="s">
        <v>394</v>
      </c>
      <c r="C182" s="2" t="s">
        <v>39</v>
      </c>
      <c r="D182" s="2" t="str">
        <f>PROPER('RAW DATA'!D182)</f>
        <v>Grace Uwase</v>
      </c>
      <c r="E182" s="2" t="s">
        <v>41</v>
      </c>
      <c r="F182" s="2" t="s">
        <v>42</v>
      </c>
      <c r="G182" s="2" t="s">
        <v>43</v>
      </c>
      <c r="H182" s="2" t="s">
        <v>44</v>
      </c>
      <c r="I182" s="5">
        <f>IFERROR(IF('RAW DATA'!I182="",AVERAGE('RAW DATA'!I$2:I$301),'RAW DATA'!I182),0)</f>
        <v>1.8</v>
      </c>
      <c r="J182" s="2">
        <v>8.1999999999999993</v>
      </c>
      <c r="K182" s="2" t="s">
        <v>24</v>
      </c>
      <c r="L182" s="2">
        <f>IFERROR(IF('RAW DATA'!L182="",3,'RAW DATA'!L182),3)</f>
        <v>4</v>
      </c>
      <c r="M182" s="2" t="s">
        <v>51</v>
      </c>
      <c r="N182" s="2" t="s">
        <v>26</v>
      </c>
      <c r="O182" s="2">
        <v>1</v>
      </c>
      <c r="P182" s="2" t="s">
        <v>13</v>
      </c>
      <c r="Q182" s="9" t="s">
        <v>46</v>
      </c>
      <c r="R182" s="3" t="str">
        <f>IFERROR(TEXT('RAW DATA'!B182,"MMMM"),"UKNNOWN")</f>
        <v>February</v>
      </c>
      <c r="S182" s="5">
        <f>IFERROR(MONTH('RAW DATA'!B182),0)</f>
        <v>2</v>
      </c>
      <c r="T182" s="2" t="str">
        <f t="shared" si="4"/>
        <v>Q1</v>
      </c>
      <c r="U182" s="2" t="str">
        <f>IF('RAW DATA'!I182&gt;20,"High",IF('RAW DATA'!I182&gt;10,"Medium","Low"))</f>
        <v>Low</v>
      </c>
      <c r="V182" s="2" t="str">
        <f>IF('RAW DATA'!B182="","Yes","No")</f>
        <v>No</v>
      </c>
      <c r="W182" s="2" t="str">
        <f>IF(COUNTIF(A$2:A481,A182)&gt;1,"Duplicate","OK")</f>
        <v>OK</v>
      </c>
      <c r="X182">
        <f t="shared" si="5"/>
        <v>4</v>
      </c>
    </row>
    <row r="183" spans="1:24" x14ac:dyDescent="0.25">
      <c r="A183" s="3" t="s">
        <v>395</v>
      </c>
      <c r="B183" s="3" t="s">
        <v>396</v>
      </c>
      <c r="C183" s="3" t="s">
        <v>105</v>
      </c>
      <c r="D183" s="2" t="str">
        <f>PROPER('RAW DATA'!D183)</f>
        <v>Alice Uwimana</v>
      </c>
      <c r="E183" s="3" t="s">
        <v>20</v>
      </c>
      <c r="F183" s="3" t="s">
        <v>21</v>
      </c>
      <c r="G183" s="3" t="s">
        <v>41</v>
      </c>
      <c r="H183" s="3" t="s">
        <v>80</v>
      </c>
      <c r="I183" s="5">
        <f>IFERROR(IF('RAW DATA'!I183="",AVERAGE('RAW DATA'!I$2:I$301),'RAW DATA'!I183),0)</f>
        <v>12.6</v>
      </c>
      <c r="J183" s="3">
        <v>4.8</v>
      </c>
      <c r="K183" s="3" t="s">
        <v>26</v>
      </c>
      <c r="L183" s="2">
        <f>IFERROR(IF('RAW DATA'!L183="",3,'RAW DATA'!L183),3)</f>
        <v>5</v>
      </c>
      <c r="M183" s="3" t="s">
        <v>81</v>
      </c>
      <c r="N183" s="3" t="s">
        <v>24</v>
      </c>
      <c r="O183" s="3">
        <v>1</v>
      </c>
      <c r="P183" s="3" t="s">
        <v>66</v>
      </c>
      <c r="Q183" s="10" t="s">
        <v>107</v>
      </c>
      <c r="R183" s="2" t="str">
        <f>IFERROR(TEXT('RAW DATA'!B183,"MMMM"),"UKNNOWN")</f>
        <v>January</v>
      </c>
      <c r="S183" s="5">
        <f>IFERROR(MONTH('RAW DATA'!B183),0)</f>
        <v>1</v>
      </c>
      <c r="T183" s="3" t="str">
        <f t="shared" si="4"/>
        <v>Q1</v>
      </c>
      <c r="U183" s="3" t="str">
        <f>IF('RAW DATA'!I183&gt;20,"High",IF('RAW DATA'!I183&gt;10,"Medium","Low"))</f>
        <v>Medium</v>
      </c>
      <c r="V183" s="3" t="str">
        <f>IF('RAW DATA'!B183="","Yes","No")</f>
        <v>No</v>
      </c>
      <c r="W183" s="2" t="str">
        <f>IF(COUNTIF(A$2:A482,A183)&gt;1,"Duplicate","OK")</f>
        <v>OK</v>
      </c>
      <c r="X183">
        <f t="shared" si="5"/>
        <v>5</v>
      </c>
    </row>
    <row r="184" spans="1:24" x14ac:dyDescent="0.25">
      <c r="A184" s="2" t="s">
        <v>397</v>
      </c>
      <c r="B184" s="2" t="s">
        <v>398</v>
      </c>
      <c r="C184" s="2" t="s">
        <v>56</v>
      </c>
      <c r="D184" s="2" t="str">
        <f>PROPER('RAW DATA'!D184)</f>
        <v>John Gasana</v>
      </c>
      <c r="E184" s="2" t="s">
        <v>41</v>
      </c>
      <c r="F184" s="2" t="s">
        <v>42</v>
      </c>
      <c r="G184" s="2" t="s">
        <v>43</v>
      </c>
      <c r="H184" s="2" t="s">
        <v>95</v>
      </c>
      <c r="I184" s="5">
        <f>IFERROR(IF('RAW DATA'!I184="",AVERAGE('RAW DATA'!I$2:I$301),'RAW DATA'!I184),0)</f>
        <v>7.8</v>
      </c>
      <c r="J184" s="2">
        <v>2.2999999999999998</v>
      </c>
      <c r="K184" s="2" t="s">
        <v>24</v>
      </c>
      <c r="L184" s="2">
        <f>IFERROR(IF('RAW DATA'!L184="",3,'RAW DATA'!L184),3)</f>
        <v>4</v>
      </c>
      <c r="M184" s="2" t="s">
        <v>25</v>
      </c>
      <c r="N184" s="2" t="s">
        <v>26</v>
      </c>
      <c r="O184" s="2">
        <v>1</v>
      </c>
      <c r="P184" s="2" t="s">
        <v>27</v>
      </c>
      <c r="Q184" s="9" t="s">
        <v>60</v>
      </c>
      <c r="R184" s="3" t="str">
        <f>IFERROR(TEXT('RAW DATA'!B184,"MMMM"),"UKNNOWN")</f>
        <v>July</v>
      </c>
      <c r="S184" s="5">
        <f>IFERROR(MONTH('RAW DATA'!B184),0)</f>
        <v>7</v>
      </c>
      <c r="T184" s="2" t="str">
        <f t="shared" si="4"/>
        <v>Q3</v>
      </c>
      <c r="U184" s="2" t="str">
        <f>IF('RAW DATA'!I184&gt;20,"High",IF('RAW DATA'!I184&gt;10,"Medium","Low"))</f>
        <v>Low</v>
      </c>
      <c r="V184" s="2" t="str">
        <f>IF('RAW DATA'!B184="","Yes","No")</f>
        <v>No</v>
      </c>
      <c r="W184" s="2" t="str">
        <f>IF(COUNTIF(A$2:A483,A184)&gt;1,"Duplicate","OK")</f>
        <v>OK</v>
      </c>
      <c r="X184">
        <f t="shared" si="5"/>
        <v>4</v>
      </c>
    </row>
    <row r="185" spans="1:24" x14ac:dyDescent="0.25">
      <c r="A185" s="3" t="s">
        <v>399</v>
      </c>
      <c r="B185" s="3" t="s">
        <v>183</v>
      </c>
      <c r="C185" s="3" t="s">
        <v>49</v>
      </c>
      <c r="D185" s="2" t="str">
        <f>PROPER('RAW DATA'!D185)</f>
        <v>Frank Nzeyimana</v>
      </c>
      <c r="E185" s="3" t="s">
        <v>41</v>
      </c>
      <c r="F185" s="3" t="s">
        <v>42</v>
      </c>
      <c r="G185" s="3" t="s">
        <v>22</v>
      </c>
      <c r="H185" s="3" t="s">
        <v>35</v>
      </c>
      <c r="I185" s="5">
        <f>IFERROR(IF('RAW DATA'!I185="",AVERAGE('RAW DATA'!I$2:I$301),'RAW DATA'!I185),0)</f>
        <v>4.0999999999999996</v>
      </c>
      <c r="J185" s="3">
        <v>0</v>
      </c>
      <c r="K185" s="3" t="s">
        <v>24</v>
      </c>
      <c r="L185" s="2">
        <f>IFERROR(IF('RAW DATA'!L185="",3,'RAW DATA'!L185),3)</f>
        <v>4</v>
      </c>
      <c r="M185" s="3" t="s">
        <v>51</v>
      </c>
      <c r="N185" s="3" t="s">
        <v>26</v>
      </c>
      <c r="O185" s="3">
        <v>0</v>
      </c>
      <c r="P185" s="3" t="s">
        <v>27</v>
      </c>
      <c r="Q185" s="10" t="s">
        <v>53</v>
      </c>
      <c r="R185" s="2" t="str">
        <f>IFERROR(TEXT('RAW DATA'!B185,"MMMM"),"UKNNOWN")</f>
        <v>July</v>
      </c>
      <c r="S185" s="5">
        <f>IFERROR(MONTH('RAW DATA'!B185),0)</f>
        <v>7</v>
      </c>
      <c r="T185" s="3" t="str">
        <f t="shared" si="4"/>
        <v>Q3</v>
      </c>
      <c r="U185" s="3" t="str">
        <f>IF('RAW DATA'!I185&gt;20,"High",IF('RAW DATA'!I185&gt;10,"Medium","Low"))</f>
        <v>Low</v>
      </c>
      <c r="V185" s="3" t="str">
        <f>IF('RAW DATA'!B185="","Yes","No")</f>
        <v>No</v>
      </c>
      <c r="W185" s="2" t="str">
        <f>IF(COUNTIF(A$2:A484,A185)&gt;1,"Duplicate","OK")</f>
        <v>OK</v>
      </c>
      <c r="X185">
        <f t="shared" si="5"/>
        <v>4</v>
      </c>
    </row>
    <row r="186" spans="1:24" x14ac:dyDescent="0.25">
      <c r="A186" s="2" t="s">
        <v>400</v>
      </c>
      <c r="B186" s="2" t="s">
        <v>291</v>
      </c>
      <c r="C186" s="2" t="s">
        <v>31</v>
      </c>
      <c r="D186" s="2" t="str">
        <f>PROPER('RAW DATA'!D186)</f>
        <v>David Habimana</v>
      </c>
      <c r="E186" s="2" t="s">
        <v>33</v>
      </c>
      <c r="F186" s="2" t="s">
        <v>34</v>
      </c>
      <c r="G186" s="2" t="s">
        <v>41</v>
      </c>
      <c r="H186" s="2" t="s">
        <v>58</v>
      </c>
      <c r="I186" s="5">
        <f>IFERROR(IF('RAW DATA'!I186="",AVERAGE('RAW DATA'!I$2:I$301),'RAW DATA'!I186),0)</f>
        <v>7.3</v>
      </c>
      <c r="J186" s="2">
        <v>1.4</v>
      </c>
      <c r="K186" s="2" t="s">
        <v>26</v>
      </c>
      <c r="L186" s="2">
        <f>IFERROR(IF('RAW DATA'!L186="",3,'RAW DATA'!L186),3)</f>
        <v>3</v>
      </c>
      <c r="M186" s="2" t="s">
        <v>81</v>
      </c>
      <c r="N186" s="2" t="s">
        <v>24</v>
      </c>
      <c r="O186" s="2">
        <v>1</v>
      </c>
      <c r="P186" s="2" t="s">
        <v>45</v>
      </c>
      <c r="Q186" s="9" t="s">
        <v>36</v>
      </c>
      <c r="R186" s="3" t="str">
        <f>IFERROR(TEXT('RAW DATA'!B186,"MMMM"),"UKNNOWN")</f>
        <v>October</v>
      </c>
      <c r="S186" s="5">
        <f>IFERROR(MONTH('RAW DATA'!B186),0)</f>
        <v>10</v>
      </c>
      <c r="T186" s="2" t="str">
        <f t="shared" si="4"/>
        <v>Q4</v>
      </c>
      <c r="U186" s="2" t="str">
        <f>IF('RAW DATA'!I186&gt;20,"High",IF('RAW DATA'!I186&gt;10,"Medium","Low"))</f>
        <v>Low</v>
      </c>
      <c r="V186" s="2" t="str">
        <f>IF('RAW DATA'!B186="","Yes","No")</f>
        <v>No</v>
      </c>
      <c r="W186" s="2" t="str">
        <f>IF(COUNTIF(A$2:A485,A186)&gt;1,"Duplicate","OK")</f>
        <v>OK</v>
      </c>
      <c r="X186">
        <f t="shared" si="5"/>
        <v>3</v>
      </c>
    </row>
    <row r="187" spans="1:24" x14ac:dyDescent="0.25">
      <c r="A187" s="3" t="s">
        <v>401</v>
      </c>
      <c r="B187" s="3" t="s">
        <v>402</v>
      </c>
      <c r="C187" s="3" t="s">
        <v>63</v>
      </c>
      <c r="D187" s="2" t="str">
        <f>PROPER('RAW DATA'!D187)</f>
        <v>Henry Bizimana</v>
      </c>
      <c r="E187" s="3" t="s">
        <v>33</v>
      </c>
      <c r="F187" s="3" t="s">
        <v>34</v>
      </c>
      <c r="G187" s="3" t="s">
        <v>41</v>
      </c>
      <c r="H187" s="3" t="s">
        <v>95</v>
      </c>
      <c r="I187" s="5">
        <f>IFERROR(IF('RAW DATA'!I187="",AVERAGE('RAW DATA'!I$2:I$301),'RAW DATA'!I187),0)</f>
        <v>7.3</v>
      </c>
      <c r="J187" s="3">
        <v>5.0999999999999996</v>
      </c>
      <c r="K187" s="3" t="s">
        <v>24</v>
      </c>
      <c r="L187" s="2">
        <f>IFERROR(IF('RAW DATA'!L187="",3,'RAW DATA'!L187),3)</f>
        <v>5</v>
      </c>
      <c r="M187" s="3" t="s">
        <v>25</v>
      </c>
      <c r="N187" s="3" t="s">
        <v>26</v>
      </c>
      <c r="O187" s="3">
        <v>1</v>
      </c>
      <c r="P187" s="3" t="s">
        <v>27</v>
      </c>
      <c r="Q187" s="10" t="s">
        <v>67</v>
      </c>
      <c r="R187" s="2" t="str">
        <f>IFERROR(TEXT('RAW DATA'!B187,"MMMM"),"UKNNOWN")</f>
        <v>January</v>
      </c>
      <c r="S187" s="5">
        <f>IFERROR(MONTH('RAW DATA'!B187),0)</f>
        <v>1</v>
      </c>
      <c r="T187" s="3" t="str">
        <f t="shared" si="4"/>
        <v>Q1</v>
      </c>
      <c r="U187" s="3" t="str">
        <f>IF('RAW DATA'!I187&gt;20,"High",IF('RAW DATA'!I187&gt;10,"Medium","Low"))</f>
        <v>Low</v>
      </c>
      <c r="V187" s="3" t="str">
        <f>IF('RAW DATA'!B187="","Yes","No")</f>
        <v>No</v>
      </c>
      <c r="W187" s="2" t="str">
        <f>IF(COUNTIF(A$2:A486,A187)&gt;1,"Duplicate","OK")</f>
        <v>OK</v>
      </c>
      <c r="X187">
        <f t="shared" si="5"/>
        <v>5</v>
      </c>
    </row>
    <row r="188" spans="1:24" x14ac:dyDescent="0.25">
      <c r="A188" s="2" t="s">
        <v>403</v>
      </c>
      <c r="B188" s="2" t="s">
        <v>135</v>
      </c>
      <c r="C188" s="2" t="s">
        <v>70</v>
      </c>
      <c r="D188" s="2" t="str">
        <f>PROPER('RAW DATA'!D188)</f>
        <v>Claire Mukamana</v>
      </c>
      <c r="E188" s="2" t="s">
        <v>33</v>
      </c>
      <c r="F188" s="2" t="s">
        <v>34</v>
      </c>
      <c r="G188" s="2" t="s">
        <v>22</v>
      </c>
      <c r="H188" s="2" t="s">
        <v>80</v>
      </c>
      <c r="I188" s="5">
        <f>IFERROR(IF('RAW DATA'!I188="",AVERAGE('RAW DATA'!I$2:I$301),'RAW DATA'!I188),0)</f>
        <v>4.2</v>
      </c>
      <c r="J188" s="2">
        <v>3.7</v>
      </c>
      <c r="K188" s="2" t="s">
        <v>24</v>
      </c>
      <c r="L188" s="2">
        <f>IFERROR(IF('RAW DATA'!L188="",3,'RAW DATA'!L188),3)</f>
        <v>5</v>
      </c>
      <c r="M188" s="2" t="s">
        <v>81</v>
      </c>
      <c r="N188" s="2" t="s">
        <v>26</v>
      </c>
      <c r="O188" s="2">
        <v>1</v>
      </c>
      <c r="P188" s="2" t="s">
        <v>27</v>
      </c>
      <c r="Q188" s="9" t="s">
        <v>73</v>
      </c>
      <c r="R188" s="3" t="str">
        <f>IFERROR(TEXT('RAW DATA'!B188,"MMMM"),"UKNNOWN")</f>
        <v>December</v>
      </c>
      <c r="S188" s="5">
        <f>IFERROR(MONTH('RAW DATA'!B188),0)</f>
        <v>12</v>
      </c>
      <c r="T188" s="2" t="str">
        <f t="shared" si="4"/>
        <v>Q4</v>
      </c>
      <c r="U188" s="2" t="str">
        <f>IF('RAW DATA'!I188&gt;20,"High",IF('RAW DATA'!I188&gt;10,"Medium","Low"))</f>
        <v>Low</v>
      </c>
      <c r="V188" s="2" t="str">
        <f>IF('RAW DATA'!B188="","Yes","No")</f>
        <v>No</v>
      </c>
      <c r="W188" s="2" t="str">
        <f>IF(COUNTIF(A$2:A487,A188)&gt;1,"Duplicate","OK")</f>
        <v>OK</v>
      </c>
      <c r="X188">
        <f t="shared" si="5"/>
        <v>5</v>
      </c>
    </row>
    <row r="189" spans="1:24" x14ac:dyDescent="0.25">
      <c r="A189" s="3" t="s">
        <v>404</v>
      </c>
      <c r="B189" s="3" t="s">
        <v>405</v>
      </c>
      <c r="C189" s="3" t="s">
        <v>85</v>
      </c>
      <c r="D189" s="2" t="str">
        <f>PROPER('RAW DATA'!D189)</f>
        <v>Irene Mutesi</v>
      </c>
      <c r="E189" s="3" t="s">
        <v>20</v>
      </c>
      <c r="F189" s="3" t="s">
        <v>21</v>
      </c>
      <c r="G189" s="3" t="s">
        <v>22</v>
      </c>
      <c r="H189" s="3" t="s">
        <v>72</v>
      </c>
      <c r="I189" s="5">
        <f>IFERROR(IF('RAW DATA'!I189="",AVERAGE('RAW DATA'!I$2:I$301),'RAW DATA'!I189),0)</f>
        <v>6.5</v>
      </c>
      <c r="J189" s="3">
        <v>5.6</v>
      </c>
      <c r="K189" s="3" t="s">
        <v>24</v>
      </c>
      <c r="L189" s="2">
        <f>IFERROR(IF('RAW DATA'!L189="",3,'RAW DATA'!L189),3)</f>
        <v>5</v>
      </c>
      <c r="M189" s="3" t="s">
        <v>81</v>
      </c>
      <c r="N189" s="3" t="s">
        <v>26</v>
      </c>
      <c r="O189" s="3">
        <v>1</v>
      </c>
      <c r="P189" s="3" t="s">
        <v>27</v>
      </c>
      <c r="Q189" s="10" t="s">
        <v>87</v>
      </c>
      <c r="R189" s="3" t="str">
        <f>IFERROR(TEXT('RAW DATA'!B189,"MMMM"),"UKNNOWN")</f>
        <v>August</v>
      </c>
      <c r="S189" s="5">
        <f>IFERROR(MONTH('RAW DATA'!B189),0)</f>
        <v>8</v>
      </c>
      <c r="T189" s="3" t="str">
        <f t="shared" si="4"/>
        <v>Q3</v>
      </c>
      <c r="U189" s="3" t="str">
        <f>IF('RAW DATA'!I189&gt;20,"High",IF('RAW DATA'!I189&gt;10,"Medium","Low"))</f>
        <v>Low</v>
      </c>
      <c r="V189" s="3" t="str">
        <f>IF('RAW DATA'!B189="","Yes","No")</f>
        <v>No</v>
      </c>
      <c r="W189" s="2" t="str">
        <f>IF(COUNTIF(A$2:A488,A189)&gt;1,"Duplicate","OK")</f>
        <v>OK</v>
      </c>
      <c r="X189">
        <f t="shared" si="5"/>
        <v>5</v>
      </c>
    </row>
    <row r="190" spans="1:24" x14ac:dyDescent="0.25">
      <c r="A190" s="2" t="s">
        <v>406</v>
      </c>
      <c r="B190" s="2" t="s">
        <v>62</v>
      </c>
      <c r="C190" s="2" t="s">
        <v>85</v>
      </c>
      <c r="D190" s="2" t="str">
        <f>PROPER('RAW DATA'!D190)</f>
        <v>Irene Mutesi</v>
      </c>
      <c r="E190" s="2" t="s">
        <v>20</v>
      </c>
      <c r="F190" s="2" t="s">
        <v>21</v>
      </c>
      <c r="G190" s="2" t="s">
        <v>22</v>
      </c>
      <c r="H190" s="2" t="s">
        <v>80</v>
      </c>
      <c r="I190" s="5">
        <f>IFERROR(IF('RAW DATA'!I190="",AVERAGE('RAW DATA'!I$2:I$301),'RAW DATA'!I190),0)</f>
        <v>5.9</v>
      </c>
      <c r="J190" s="2">
        <v>8.5</v>
      </c>
      <c r="K190" s="2" t="s">
        <v>24</v>
      </c>
      <c r="L190" s="2">
        <f>IFERROR(IF('RAW DATA'!L190="",3,'RAW DATA'!L190),3)</f>
        <v>5</v>
      </c>
      <c r="M190" s="2" t="s">
        <v>59</v>
      </c>
      <c r="N190" s="2" t="s">
        <v>26</v>
      </c>
      <c r="O190" s="2">
        <v>1</v>
      </c>
      <c r="P190" s="2" t="s">
        <v>13</v>
      </c>
      <c r="Q190" s="9" t="s">
        <v>87</v>
      </c>
      <c r="R190" s="2" t="str">
        <f>IFERROR(TEXT('RAW DATA'!B190,"MMMM"),"UKNNOWN")</f>
        <v>May</v>
      </c>
      <c r="S190" s="5">
        <f>IFERROR(MONTH('RAW DATA'!B190),0)</f>
        <v>5</v>
      </c>
      <c r="T190" s="2" t="str">
        <f t="shared" si="4"/>
        <v>Q2</v>
      </c>
      <c r="U190" s="2" t="str">
        <f>IF('RAW DATA'!I190&gt;20,"High",IF('RAW DATA'!I190&gt;10,"Medium","Low"))</f>
        <v>Low</v>
      </c>
      <c r="V190" s="2" t="str">
        <f>IF('RAW DATA'!B190="","Yes","No")</f>
        <v>No</v>
      </c>
      <c r="W190" s="2" t="str">
        <f>IF(COUNTIF(A$2:A489,A190)&gt;1,"Duplicate","OK")</f>
        <v>OK</v>
      </c>
      <c r="X190">
        <f t="shared" si="5"/>
        <v>5</v>
      </c>
    </row>
    <row r="191" spans="1:24" x14ac:dyDescent="0.25">
      <c r="A191" s="3" t="s">
        <v>407</v>
      </c>
      <c r="B191" s="3" t="s">
        <v>408</v>
      </c>
      <c r="C191" s="3" t="s">
        <v>85</v>
      </c>
      <c r="D191" s="2" t="str">
        <f>PROPER('RAW DATA'!D191)</f>
        <v>Irene Mutesi</v>
      </c>
      <c r="E191" s="3" t="s">
        <v>20</v>
      </c>
      <c r="F191" s="3" t="s">
        <v>21</v>
      </c>
      <c r="G191" s="3" t="s">
        <v>43</v>
      </c>
      <c r="H191" s="3" t="s">
        <v>65</v>
      </c>
      <c r="I191" s="5">
        <f>IFERROR(IF('RAW DATA'!I191="",AVERAGE('RAW DATA'!I$2:I$301),'RAW DATA'!I191),0)</f>
        <v>12.9</v>
      </c>
      <c r="J191" s="3">
        <v>2.6</v>
      </c>
      <c r="K191" s="3" t="s">
        <v>24</v>
      </c>
      <c r="L191" s="2">
        <f>IFERROR(IF('RAW DATA'!L191="",3,'RAW DATA'!L191),3)</f>
        <v>3</v>
      </c>
      <c r="M191" s="3" t="s">
        <v>90</v>
      </c>
      <c r="N191" s="3" t="s">
        <v>26</v>
      </c>
      <c r="O191" s="3">
        <v>1</v>
      </c>
      <c r="P191" s="3" t="s">
        <v>52</v>
      </c>
      <c r="Q191" s="10" t="s">
        <v>87</v>
      </c>
      <c r="R191" s="3" t="str">
        <f>IFERROR(TEXT('RAW DATA'!B191,"MMMM"),"UKNNOWN")</f>
        <v>June</v>
      </c>
      <c r="S191" s="5">
        <f>IFERROR(MONTH('RAW DATA'!B191),0)</f>
        <v>6</v>
      </c>
      <c r="T191" s="3" t="str">
        <f t="shared" si="4"/>
        <v>Q2</v>
      </c>
      <c r="U191" s="3" t="str">
        <f>IF('RAW DATA'!I191&gt;20,"High",IF('RAW DATA'!I191&gt;10,"Medium","Low"))</f>
        <v>Medium</v>
      </c>
      <c r="V191" s="3" t="str">
        <f>IF('RAW DATA'!B191="","Yes","No")</f>
        <v>No</v>
      </c>
      <c r="W191" s="2" t="str">
        <f>IF(COUNTIF(A$2:A490,A191)&gt;1,"Duplicate","OK")</f>
        <v>OK</v>
      </c>
      <c r="X191">
        <f t="shared" si="5"/>
        <v>3</v>
      </c>
    </row>
    <row r="192" spans="1:24" x14ac:dyDescent="0.25">
      <c r="A192" s="2" t="s">
        <v>409</v>
      </c>
      <c r="B192" s="2" t="s">
        <v>187</v>
      </c>
      <c r="C192" s="2" t="s">
        <v>78</v>
      </c>
      <c r="D192" s="2" t="str">
        <f>PROPER('RAW DATA'!D192)</f>
        <v>Eve Ingabire</v>
      </c>
      <c r="E192" s="2" t="s">
        <v>20</v>
      </c>
      <c r="F192" s="2" t="s">
        <v>21</v>
      </c>
      <c r="G192" s="2" t="s">
        <v>43</v>
      </c>
      <c r="H192" s="2" t="s">
        <v>72</v>
      </c>
      <c r="I192" s="5">
        <f>IFERROR(IF('RAW DATA'!I192="",AVERAGE('RAW DATA'!I$2:I$301),'RAW DATA'!I192),0)</f>
        <v>9.1999999999999993</v>
      </c>
      <c r="J192" s="2">
        <v>3.8</v>
      </c>
      <c r="K192" s="2" t="s">
        <v>24</v>
      </c>
      <c r="L192" s="2">
        <f>IFERROR(IF('RAW DATA'!L192="",3,'RAW DATA'!L192),3)</f>
        <v>5</v>
      </c>
      <c r="M192" s="2" t="s">
        <v>51</v>
      </c>
      <c r="N192" s="2" t="s">
        <v>26</v>
      </c>
      <c r="O192" s="2">
        <v>1</v>
      </c>
      <c r="P192" s="2" t="s">
        <v>52</v>
      </c>
      <c r="Q192" s="9" t="s">
        <v>82</v>
      </c>
      <c r="R192" s="2" t="str">
        <f>IFERROR(TEXT('RAW DATA'!B192,"MMMM"),"UKNNOWN")</f>
        <v>January</v>
      </c>
      <c r="S192" s="5">
        <f>IFERROR(MONTH('RAW DATA'!B192),0)</f>
        <v>1</v>
      </c>
      <c r="T192" s="2" t="str">
        <f t="shared" si="4"/>
        <v>Q1</v>
      </c>
      <c r="U192" s="2" t="str">
        <f>IF('RAW DATA'!I192&gt;20,"High",IF('RAW DATA'!I192&gt;10,"Medium","Low"))</f>
        <v>Low</v>
      </c>
      <c r="V192" s="2" t="str">
        <f>IF('RAW DATA'!B192="","Yes","No")</f>
        <v>No</v>
      </c>
      <c r="W192" s="2" t="str">
        <f>IF(COUNTIF(A$2:A491,A192)&gt;1,"Duplicate","OK")</f>
        <v>OK</v>
      </c>
      <c r="X192">
        <f t="shared" si="5"/>
        <v>5</v>
      </c>
    </row>
    <row r="193" spans="1:24" x14ac:dyDescent="0.25">
      <c r="A193" s="3" t="s">
        <v>410</v>
      </c>
      <c r="B193" s="3" t="s">
        <v>411</v>
      </c>
      <c r="C193" s="3" t="s">
        <v>85</v>
      </c>
      <c r="D193" s="2" t="str">
        <f>PROPER('RAW DATA'!D193)</f>
        <v>Irene Mutesi</v>
      </c>
      <c r="E193" s="3" t="s">
        <v>20</v>
      </c>
      <c r="F193" s="3" t="s">
        <v>21</v>
      </c>
      <c r="G193" s="3" t="s">
        <v>43</v>
      </c>
      <c r="H193" s="3" t="s">
        <v>72</v>
      </c>
      <c r="I193" s="5">
        <f>IFERROR(IF('RAW DATA'!I193="",AVERAGE('RAW DATA'!I$2:I$301),'RAW DATA'!I193),0)</f>
        <v>7.5</v>
      </c>
      <c r="J193" s="3">
        <v>3</v>
      </c>
      <c r="K193" s="3" t="s">
        <v>24</v>
      </c>
      <c r="L193" s="2">
        <f>IFERROR(IF('RAW DATA'!L193="",3,'RAW DATA'!L193),3)</f>
        <v>4</v>
      </c>
      <c r="M193" s="3" t="s">
        <v>81</v>
      </c>
      <c r="N193" s="3" t="s">
        <v>26</v>
      </c>
      <c r="O193" s="3">
        <v>0</v>
      </c>
      <c r="P193" s="3" t="s">
        <v>13</v>
      </c>
      <c r="Q193" s="10" t="s">
        <v>87</v>
      </c>
      <c r="R193" s="3" t="str">
        <f>IFERROR(TEXT('RAW DATA'!B193,"MMMM"),"UKNNOWN")</f>
        <v>May</v>
      </c>
      <c r="S193" s="5">
        <f>IFERROR(MONTH('RAW DATA'!B193),0)</f>
        <v>5</v>
      </c>
      <c r="T193" s="3" t="str">
        <f t="shared" si="4"/>
        <v>Q2</v>
      </c>
      <c r="U193" s="3" t="str">
        <f>IF('RAW DATA'!I193&gt;20,"High",IF('RAW DATA'!I193&gt;10,"Medium","Low"))</f>
        <v>Low</v>
      </c>
      <c r="V193" s="3" t="str">
        <f>IF('RAW DATA'!B193="","Yes","No")</f>
        <v>No</v>
      </c>
      <c r="W193" s="2" t="str">
        <f>IF(COUNTIF(A$2:A492,A193)&gt;1,"Duplicate","OK")</f>
        <v>OK</v>
      </c>
      <c r="X193">
        <f t="shared" si="5"/>
        <v>4</v>
      </c>
    </row>
    <row r="194" spans="1:24" x14ac:dyDescent="0.25">
      <c r="A194" s="2" t="s">
        <v>412</v>
      </c>
      <c r="B194" s="2" t="s">
        <v>133</v>
      </c>
      <c r="C194" s="2" t="s">
        <v>18</v>
      </c>
      <c r="D194" s="2" t="str">
        <f>PROPER('RAW DATA'!D194)</f>
        <v>Bob Nshimiyimana</v>
      </c>
      <c r="E194" s="2" t="s">
        <v>20</v>
      </c>
      <c r="F194" s="2" t="s">
        <v>21</v>
      </c>
      <c r="G194" s="2" t="s">
        <v>43</v>
      </c>
      <c r="H194" s="2" t="s">
        <v>44</v>
      </c>
      <c r="I194" s="5">
        <f>IFERROR(IF('RAW DATA'!I194="",AVERAGE('RAW DATA'!I$2:I$301),'RAW DATA'!I194),0)</f>
        <v>3.9</v>
      </c>
      <c r="J194" s="2">
        <v>5.6</v>
      </c>
      <c r="K194" s="2" t="s">
        <v>26</v>
      </c>
      <c r="L194" s="2">
        <f>IFERROR(IF('RAW DATA'!L194="",3,'RAW DATA'!L194),3)</f>
        <v>2</v>
      </c>
      <c r="M194" s="2" t="s">
        <v>59</v>
      </c>
      <c r="N194" s="2" t="s">
        <v>26</v>
      </c>
      <c r="O194" s="2">
        <v>0</v>
      </c>
      <c r="P194" s="2" t="s">
        <v>27</v>
      </c>
      <c r="Q194" s="9" t="s">
        <v>28</v>
      </c>
      <c r="R194" s="2" t="str">
        <f>IFERROR(TEXT('RAW DATA'!B194,"MMMM"),"UKNNOWN")</f>
        <v>January</v>
      </c>
      <c r="S194" s="5">
        <f>IFERROR(MONTH('RAW DATA'!B194),0)</f>
        <v>1</v>
      </c>
      <c r="T194" s="2" t="str">
        <f t="shared" si="4"/>
        <v>Q1</v>
      </c>
      <c r="U194" s="2" t="str">
        <f>IF('RAW DATA'!I194&gt;20,"High",IF('RAW DATA'!I194&gt;10,"Medium","Low"))</f>
        <v>Low</v>
      </c>
      <c r="V194" s="2" t="str">
        <f>IF('RAW DATA'!B194="","Yes","No")</f>
        <v>No</v>
      </c>
      <c r="W194" s="2" t="str">
        <f>IF(COUNTIF(A$2:A493,A194)&gt;1,"Duplicate","OK")</f>
        <v>OK</v>
      </c>
      <c r="X194">
        <f t="shared" si="5"/>
        <v>2</v>
      </c>
    </row>
    <row r="195" spans="1:24" x14ac:dyDescent="0.25">
      <c r="A195" s="3" t="s">
        <v>413</v>
      </c>
      <c r="B195" s="3" t="s">
        <v>414</v>
      </c>
      <c r="C195" s="3" t="s">
        <v>31</v>
      </c>
      <c r="D195" s="2" t="str">
        <f>PROPER('RAW DATA'!D195)</f>
        <v>David Habimana</v>
      </c>
      <c r="E195" s="3" t="s">
        <v>33</v>
      </c>
      <c r="F195" s="3" t="s">
        <v>34</v>
      </c>
      <c r="G195" s="3" t="s">
        <v>41</v>
      </c>
      <c r="H195" s="3" t="s">
        <v>72</v>
      </c>
      <c r="I195" s="5">
        <f>IFERROR(IF('RAW DATA'!I195="",AVERAGE('RAW DATA'!I$2:I$301),'RAW DATA'!I195),0)</f>
        <v>8.1</v>
      </c>
      <c r="J195" s="3">
        <v>2.4</v>
      </c>
      <c r="K195" s="3" t="s">
        <v>24</v>
      </c>
      <c r="L195" s="2">
        <f>IFERROR(IF('RAW DATA'!L195="",3,'RAW DATA'!L195),3)</f>
        <v>4</v>
      </c>
      <c r="M195" s="3" t="s">
        <v>51</v>
      </c>
      <c r="N195" s="3" t="s">
        <v>26</v>
      </c>
      <c r="O195" s="3">
        <v>0</v>
      </c>
      <c r="P195" s="3" t="s">
        <v>45</v>
      </c>
      <c r="Q195" s="10" t="s">
        <v>36</v>
      </c>
      <c r="R195" s="3" t="str">
        <f>IFERROR(TEXT('RAW DATA'!B195,"MMMM"),"UKNNOWN")</f>
        <v>September</v>
      </c>
      <c r="S195" s="5">
        <f>IFERROR(MONTH('RAW DATA'!B195),0)</f>
        <v>9</v>
      </c>
      <c r="T195" s="3" t="str">
        <f t="shared" ref="T195:T258" si="6">IF(S195&lt;=3,"Q1",IF(S195&lt;=6,"Q2",IF(S195&lt;=9,"Q3","Q4")))</f>
        <v>Q3</v>
      </c>
      <c r="U195" s="3" t="str">
        <f>IF('RAW DATA'!I195&gt;20,"High",IF('RAW DATA'!I195&gt;10,"Medium","Low"))</f>
        <v>Low</v>
      </c>
      <c r="V195" s="3" t="str">
        <f>IF('RAW DATA'!B195="","Yes","No")</f>
        <v>No</v>
      </c>
      <c r="W195" s="2" t="str">
        <f>IF(COUNTIF(A$2:A494,A195)&gt;1,"Duplicate","OK")</f>
        <v>OK</v>
      </c>
      <c r="X195">
        <f t="shared" ref="X195:X258" si="7">IFERROR(L195,L196)</f>
        <v>4</v>
      </c>
    </row>
    <row r="196" spans="1:24" x14ac:dyDescent="0.25">
      <c r="A196" s="2" t="s">
        <v>415</v>
      </c>
      <c r="B196" s="2" t="s">
        <v>143</v>
      </c>
      <c r="C196" s="2" t="s">
        <v>70</v>
      </c>
      <c r="D196" s="2" t="str">
        <f>PROPER('RAW DATA'!D196)</f>
        <v>Claire Mukamana</v>
      </c>
      <c r="E196" s="2" t="s">
        <v>33</v>
      </c>
      <c r="F196" s="2" t="s">
        <v>34</v>
      </c>
      <c r="G196" s="2" t="s">
        <v>22</v>
      </c>
      <c r="H196" s="2" t="s">
        <v>65</v>
      </c>
      <c r="I196" s="5">
        <f>IFERROR(IF('RAW DATA'!I196="",AVERAGE('RAW DATA'!I$2:I$301),'RAW DATA'!I196),0)</f>
        <v>3</v>
      </c>
      <c r="J196" s="2">
        <v>5.9</v>
      </c>
      <c r="K196" s="2" t="s">
        <v>24</v>
      </c>
      <c r="L196" s="2">
        <f>IFERROR(IF('RAW DATA'!L196="",3,'RAW DATA'!L196),3)</f>
        <v>5</v>
      </c>
      <c r="M196" s="2" t="s">
        <v>90</v>
      </c>
      <c r="N196" s="2" t="s">
        <v>26</v>
      </c>
      <c r="O196" s="2">
        <v>0</v>
      </c>
      <c r="P196" s="2" t="s">
        <v>52</v>
      </c>
      <c r="Q196" s="9" t="s">
        <v>73</v>
      </c>
      <c r="R196" s="2" t="str">
        <f>IFERROR(TEXT('RAW DATA'!B196,"MMMM"),"UKNNOWN")</f>
        <v>January</v>
      </c>
      <c r="S196" s="5">
        <f>IFERROR(MONTH('RAW DATA'!B196),0)</f>
        <v>1</v>
      </c>
      <c r="T196" s="2" t="str">
        <f t="shared" si="6"/>
        <v>Q1</v>
      </c>
      <c r="U196" s="2" t="str">
        <f>IF('RAW DATA'!I196&gt;20,"High",IF('RAW DATA'!I196&gt;10,"Medium","Low"))</f>
        <v>Low</v>
      </c>
      <c r="V196" s="2" t="str">
        <f>IF('RAW DATA'!B196="","Yes","No")</f>
        <v>No</v>
      </c>
      <c r="W196" s="2" t="str">
        <f>IF(COUNTIF(A$2:A495,A196)&gt;1,"Duplicate","OK")</f>
        <v>OK</v>
      </c>
      <c r="X196">
        <f t="shared" si="7"/>
        <v>5</v>
      </c>
    </row>
    <row r="197" spans="1:24" x14ac:dyDescent="0.25">
      <c r="A197" s="3" t="s">
        <v>416</v>
      </c>
      <c r="B197" s="3" t="s">
        <v>143</v>
      </c>
      <c r="C197" s="3" t="s">
        <v>105</v>
      </c>
      <c r="D197" s="2" t="str">
        <f>PROPER('RAW DATA'!D197)</f>
        <v>Alice Uwimana</v>
      </c>
      <c r="E197" s="3" t="s">
        <v>20</v>
      </c>
      <c r="F197" s="3" t="s">
        <v>21</v>
      </c>
      <c r="G197" s="3" t="s">
        <v>22</v>
      </c>
      <c r="H197" s="3" t="s">
        <v>95</v>
      </c>
      <c r="I197" s="5">
        <f>IFERROR(IF('RAW DATA'!I197="",AVERAGE('RAW DATA'!I$2:I$301),'RAW DATA'!I197),0)</f>
        <v>6.8</v>
      </c>
      <c r="J197" s="3">
        <v>6.6</v>
      </c>
      <c r="K197" s="3" t="s">
        <v>24</v>
      </c>
      <c r="L197" s="2">
        <f>IFERROR(IF('RAW DATA'!L197="",3,'RAW DATA'!L197),3)</f>
        <v>5</v>
      </c>
      <c r="M197" s="3" t="s">
        <v>81</v>
      </c>
      <c r="N197" s="3" t="s">
        <v>26</v>
      </c>
      <c r="O197" s="3">
        <v>1</v>
      </c>
      <c r="P197" s="3" t="s">
        <v>66</v>
      </c>
      <c r="Q197" s="10" t="s">
        <v>107</v>
      </c>
      <c r="R197" s="3" t="str">
        <f>IFERROR(TEXT('RAW DATA'!B197,"MMMM"),"UKNNOWN")</f>
        <v>January</v>
      </c>
      <c r="S197" s="5">
        <f>IFERROR(MONTH('RAW DATA'!B197),0)</f>
        <v>1</v>
      </c>
      <c r="T197" s="3" t="str">
        <f t="shared" si="6"/>
        <v>Q1</v>
      </c>
      <c r="U197" s="3" t="str">
        <f>IF('RAW DATA'!I197&gt;20,"High",IF('RAW DATA'!I197&gt;10,"Medium","Low"))</f>
        <v>Low</v>
      </c>
      <c r="V197" s="3" t="str">
        <f>IF('RAW DATA'!B197="","Yes","No")</f>
        <v>No</v>
      </c>
      <c r="W197" s="2" t="str">
        <f>IF(COUNTIF(A$2:A496,A197)&gt;1,"Duplicate","OK")</f>
        <v>OK</v>
      </c>
      <c r="X197">
        <f t="shared" si="7"/>
        <v>5</v>
      </c>
    </row>
    <row r="198" spans="1:24" x14ac:dyDescent="0.25">
      <c r="A198" s="2" t="s">
        <v>417</v>
      </c>
      <c r="B198" s="2" t="s">
        <v>285</v>
      </c>
      <c r="C198" s="2" t="s">
        <v>63</v>
      </c>
      <c r="D198" s="2" t="str">
        <f>PROPER('RAW DATA'!D198)</f>
        <v>Henry Bizimana</v>
      </c>
      <c r="E198" s="2" t="s">
        <v>33</v>
      </c>
      <c r="F198" s="2" t="s">
        <v>34</v>
      </c>
      <c r="G198" s="2" t="s">
        <v>43</v>
      </c>
      <c r="H198" s="2" t="s">
        <v>23</v>
      </c>
      <c r="I198" s="5">
        <f>IFERROR(IF('RAW DATA'!I198="",AVERAGE('RAW DATA'!I$2:I$301),'RAW DATA'!I198),0)</f>
        <v>7.2</v>
      </c>
      <c r="J198" s="2">
        <v>7.6</v>
      </c>
      <c r="K198" s="2" t="s">
        <v>24</v>
      </c>
      <c r="L198" s="2">
        <f>IFERROR(IF('RAW DATA'!L198="",3,'RAW DATA'!L198),3)</f>
        <v>4</v>
      </c>
      <c r="M198" s="2" t="s">
        <v>90</v>
      </c>
      <c r="N198" s="2" t="s">
        <v>26</v>
      </c>
      <c r="O198" s="2">
        <v>1</v>
      </c>
      <c r="P198" s="2" t="s">
        <v>66</v>
      </c>
      <c r="Q198" s="9" t="s">
        <v>67</v>
      </c>
      <c r="R198" s="2" t="str">
        <f>IFERROR(TEXT('RAW DATA'!B198,"MMMM"),"UKNNOWN")</f>
        <v>September</v>
      </c>
      <c r="S198" s="5">
        <f>IFERROR(MONTH('RAW DATA'!B198),0)</f>
        <v>9</v>
      </c>
      <c r="T198" s="2" t="str">
        <f t="shared" si="6"/>
        <v>Q3</v>
      </c>
      <c r="U198" s="2" t="str">
        <f>IF('RAW DATA'!I198&gt;20,"High",IF('RAW DATA'!I198&gt;10,"Medium","Low"))</f>
        <v>Low</v>
      </c>
      <c r="V198" s="2" t="str">
        <f>IF('RAW DATA'!B198="","Yes","No")</f>
        <v>No</v>
      </c>
      <c r="W198" s="2" t="str">
        <f>IF(COUNTIF(A$2:A497,A198)&gt;1,"Duplicate","OK")</f>
        <v>OK</v>
      </c>
      <c r="X198">
        <f t="shared" si="7"/>
        <v>4</v>
      </c>
    </row>
    <row r="199" spans="1:24" x14ac:dyDescent="0.25">
      <c r="A199" s="3" t="s">
        <v>418</v>
      </c>
      <c r="B199" s="3" t="s">
        <v>419</v>
      </c>
      <c r="C199" s="3" t="s">
        <v>56</v>
      </c>
      <c r="D199" s="2" t="str">
        <f>PROPER('RAW DATA'!D199)</f>
        <v>John Gasana</v>
      </c>
      <c r="E199" s="3" t="s">
        <v>41</v>
      </c>
      <c r="F199" s="3" t="s">
        <v>42</v>
      </c>
      <c r="G199" s="3" t="s">
        <v>41</v>
      </c>
      <c r="H199" s="3" t="s">
        <v>80</v>
      </c>
      <c r="I199" s="5">
        <f>IFERROR(IF('RAW DATA'!I199="",AVERAGE('RAW DATA'!I$2:I$301),'RAW DATA'!I199),0)</f>
        <v>7.1</v>
      </c>
      <c r="J199" s="3">
        <v>2.8</v>
      </c>
      <c r="K199" s="3" t="s">
        <v>24</v>
      </c>
      <c r="L199" s="2">
        <f>IFERROR(IF('RAW DATA'!L199="",3,'RAW DATA'!L199),3)</f>
        <v>4</v>
      </c>
      <c r="M199" s="3" t="s">
        <v>25</v>
      </c>
      <c r="N199" s="3" t="s">
        <v>26</v>
      </c>
      <c r="O199" s="3">
        <v>1</v>
      </c>
      <c r="P199" s="3" t="s">
        <v>52</v>
      </c>
      <c r="Q199" s="10" t="s">
        <v>60</v>
      </c>
      <c r="R199" s="3" t="str">
        <f>IFERROR(TEXT('RAW DATA'!B199,"MMMM"),"UKNNOWN")</f>
        <v>May</v>
      </c>
      <c r="S199" s="5">
        <f>IFERROR(MONTH('RAW DATA'!B199),0)</f>
        <v>5</v>
      </c>
      <c r="T199" s="3" t="str">
        <f t="shared" si="6"/>
        <v>Q2</v>
      </c>
      <c r="U199" s="3" t="str">
        <f>IF('RAW DATA'!I199&gt;20,"High",IF('RAW DATA'!I199&gt;10,"Medium","Low"))</f>
        <v>Low</v>
      </c>
      <c r="V199" s="3" t="str">
        <f>IF('RAW DATA'!B199="","Yes","No")</f>
        <v>No</v>
      </c>
      <c r="W199" s="2" t="str">
        <f>IF(COUNTIF(A$2:A498,A199)&gt;1,"Duplicate","OK")</f>
        <v>OK</v>
      </c>
      <c r="X199">
        <f t="shared" si="7"/>
        <v>4</v>
      </c>
    </row>
    <row r="200" spans="1:24" x14ac:dyDescent="0.25">
      <c r="A200" s="2" t="s">
        <v>420</v>
      </c>
      <c r="B200" s="2" t="s">
        <v>282</v>
      </c>
      <c r="C200" s="2" t="s">
        <v>18</v>
      </c>
      <c r="D200" s="2" t="str">
        <f>PROPER('RAW DATA'!D200)</f>
        <v>Bob Nshimiyimana</v>
      </c>
      <c r="E200" s="2" t="s">
        <v>20</v>
      </c>
      <c r="F200" s="2" t="s">
        <v>21</v>
      </c>
      <c r="G200" s="2" t="s">
        <v>43</v>
      </c>
      <c r="H200" s="2" t="s">
        <v>44</v>
      </c>
      <c r="I200" s="5">
        <f>IFERROR(IF('RAW DATA'!I200="",AVERAGE('RAW DATA'!I$2:I$301),'RAW DATA'!I200),0)</f>
        <v>8.6999999999999993</v>
      </c>
      <c r="J200" s="2">
        <v>5</v>
      </c>
      <c r="K200" s="2" t="s">
        <v>24</v>
      </c>
      <c r="L200" s="2">
        <f>IFERROR(IF('RAW DATA'!L200="",3,'RAW DATA'!L200),3)</f>
        <v>4</v>
      </c>
      <c r="M200" s="2" t="s">
        <v>81</v>
      </c>
      <c r="N200" s="2" t="s">
        <v>26</v>
      </c>
      <c r="O200" s="2">
        <v>0</v>
      </c>
      <c r="P200" s="2" t="s">
        <v>45</v>
      </c>
      <c r="Q200" s="9" t="s">
        <v>28</v>
      </c>
      <c r="R200" s="2" t="str">
        <f>IFERROR(TEXT('RAW DATA'!B200,"MMMM"),"UKNNOWN")</f>
        <v>July</v>
      </c>
      <c r="S200" s="5">
        <f>IFERROR(MONTH('RAW DATA'!B200),0)</f>
        <v>7</v>
      </c>
      <c r="T200" s="2" t="str">
        <f t="shared" si="6"/>
        <v>Q3</v>
      </c>
      <c r="U200" s="2" t="str">
        <f>IF('RAW DATA'!I200&gt;20,"High",IF('RAW DATA'!I200&gt;10,"Medium","Low"))</f>
        <v>Low</v>
      </c>
      <c r="V200" s="2" t="str">
        <f>IF('RAW DATA'!B200="","Yes","No")</f>
        <v>No</v>
      </c>
      <c r="W200" s="2" t="str">
        <f>IF(COUNTIF(A$2:A499,A200)&gt;1,"Duplicate","OK")</f>
        <v>OK</v>
      </c>
      <c r="X200">
        <f t="shared" si="7"/>
        <v>4</v>
      </c>
    </row>
    <row r="201" spans="1:24" x14ac:dyDescent="0.25">
      <c r="A201" s="3" t="s">
        <v>421</v>
      </c>
      <c r="B201" s="3" t="s">
        <v>422</v>
      </c>
      <c r="C201" s="3" t="s">
        <v>78</v>
      </c>
      <c r="D201" s="2" t="str">
        <f>PROPER('RAW DATA'!D201)</f>
        <v>Eve Ingabire</v>
      </c>
      <c r="E201" s="3" t="s">
        <v>20</v>
      </c>
      <c r="F201" s="3" t="s">
        <v>21</v>
      </c>
      <c r="G201" s="3" t="s">
        <v>43</v>
      </c>
      <c r="H201" s="3" t="s">
        <v>72</v>
      </c>
      <c r="I201" s="5">
        <f>IFERROR(IF('RAW DATA'!I201="",AVERAGE('RAW DATA'!I$2:I$301),'RAW DATA'!I201),0)</f>
        <v>10.4</v>
      </c>
      <c r="J201" s="3">
        <v>3.5</v>
      </c>
      <c r="K201" s="3" t="s">
        <v>24</v>
      </c>
      <c r="L201" s="2">
        <f>IFERROR(IF('RAW DATA'!L201="",3,'RAW DATA'!L201),3)</f>
        <v>5</v>
      </c>
      <c r="M201" s="3" t="s">
        <v>25</v>
      </c>
      <c r="N201" s="3" t="s">
        <v>26</v>
      </c>
      <c r="O201" s="3">
        <v>0</v>
      </c>
      <c r="P201" s="3" t="s">
        <v>66</v>
      </c>
      <c r="Q201" s="10" t="s">
        <v>82</v>
      </c>
      <c r="R201" s="3" t="str">
        <f>IFERROR(TEXT('RAW DATA'!B201,"MMMM"),"UKNNOWN")</f>
        <v>August</v>
      </c>
      <c r="S201" s="5">
        <f>IFERROR(MONTH('RAW DATA'!B201),0)</f>
        <v>8</v>
      </c>
      <c r="T201" s="3" t="str">
        <f t="shared" si="6"/>
        <v>Q3</v>
      </c>
      <c r="U201" s="3" t="str">
        <f>IF('RAW DATA'!I201&gt;20,"High",IF('RAW DATA'!I201&gt;10,"Medium","Low"))</f>
        <v>Medium</v>
      </c>
      <c r="V201" s="3" t="str">
        <f>IF('RAW DATA'!B201="","Yes","No")</f>
        <v>No</v>
      </c>
      <c r="W201" s="2" t="str">
        <f>IF(COUNTIF(A$2:A500,A201)&gt;1,"Duplicate","OK")</f>
        <v>OK</v>
      </c>
      <c r="X201">
        <f t="shared" si="7"/>
        <v>5</v>
      </c>
    </row>
    <row r="202" spans="1:24" x14ac:dyDescent="0.25">
      <c r="A202" s="2" t="s">
        <v>423</v>
      </c>
      <c r="B202" s="2"/>
      <c r="C202" s="2" t="s">
        <v>18</v>
      </c>
      <c r="D202" s="2" t="str">
        <f>PROPER('RAW DATA'!D202)</f>
        <v>Bob Nshimiyimana</v>
      </c>
      <c r="E202" s="2" t="s">
        <v>20</v>
      </c>
      <c r="F202" s="2" t="s">
        <v>21</v>
      </c>
      <c r="G202" s="2" t="s">
        <v>43</v>
      </c>
      <c r="H202" s="2" t="s">
        <v>80</v>
      </c>
      <c r="I202" s="5">
        <f>IFERROR(IF('RAW DATA'!I202="",AVERAGE('RAW DATA'!I$2:I$301),'RAW DATA'!I202),0)</f>
        <v>6.3</v>
      </c>
      <c r="J202" s="2">
        <v>4.3</v>
      </c>
      <c r="K202" s="2" t="s">
        <v>24</v>
      </c>
      <c r="L202" s="2">
        <f>IFERROR(IF('RAW DATA'!L202="",3,'RAW DATA'!L202),3)</f>
        <v>3</v>
      </c>
      <c r="M202" s="2" t="s">
        <v>51</v>
      </c>
      <c r="N202" s="2" t="s">
        <v>26</v>
      </c>
      <c r="O202" s="2">
        <v>1</v>
      </c>
      <c r="P202" s="2" t="s">
        <v>45</v>
      </c>
      <c r="Q202" s="9" t="s">
        <v>28</v>
      </c>
      <c r="R202" s="2" t="str">
        <f>IFERROR(TEXT('RAW DATA'!B202,"MMMM"),"UKNNOWN")</f>
        <v>January</v>
      </c>
      <c r="S202" s="5">
        <f>IFERROR(MONTH('RAW DATA'!B202),0)</f>
        <v>1</v>
      </c>
      <c r="T202" s="2" t="str">
        <f t="shared" si="6"/>
        <v>Q1</v>
      </c>
      <c r="U202" s="2" t="str">
        <f>IF('RAW DATA'!I202&gt;20,"High",IF('RAW DATA'!I202&gt;10,"Medium","Low"))</f>
        <v>Low</v>
      </c>
      <c r="V202" s="2" t="str">
        <f>IF('RAW DATA'!B202="","Yes","No")</f>
        <v>Yes</v>
      </c>
      <c r="W202" s="2" t="str">
        <f>IF(COUNTIF(A$2:A501,A202)&gt;1,"Duplicate","OK")</f>
        <v>OK</v>
      </c>
      <c r="X202">
        <f t="shared" si="7"/>
        <v>3</v>
      </c>
    </row>
    <row r="203" spans="1:24" x14ac:dyDescent="0.25">
      <c r="A203" s="3" t="s">
        <v>424</v>
      </c>
      <c r="B203" s="3" t="s">
        <v>197</v>
      </c>
      <c r="C203" s="3" t="s">
        <v>31</v>
      </c>
      <c r="D203" s="2" t="str">
        <f>PROPER('RAW DATA'!D203)</f>
        <v>David Habimana</v>
      </c>
      <c r="E203" s="3" t="s">
        <v>33</v>
      </c>
      <c r="F203" s="3" t="s">
        <v>34</v>
      </c>
      <c r="G203" s="3" t="s">
        <v>41</v>
      </c>
      <c r="H203" s="3" t="s">
        <v>95</v>
      </c>
      <c r="I203" s="5">
        <f>IFERROR(IF('RAW DATA'!I203="",AVERAGE('RAW DATA'!I$2:I$301),'RAW DATA'!I203),0)</f>
        <v>11.3</v>
      </c>
      <c r="J203" s="3">
        <v>3.4</v>
      </c>
      <c r="K203" s="3" t="s">
        <v>24</v>
      </c>
      <c r="L203" s="2">
        <f>IFERROR(IF('RAW DATA'!L203="",3,'RAW DATA'!L203),3)</f>
        <v>4</v>
      </c>
      <c r="M203" s="3" t="s">
        <v>51</v>
      </c>
      <c r="N203" s="3" t="s">
        <v>26</v>
      </c>
      <c r="O203" s="3">
        <v>1</v>
      </c>
      <c r="P203" s="3" t="s">
        <v>52</v>
      </c>
      <c r="Q203" s="10" t="s">
        <v>36</v>
      </c>
      <c r="R203" s="3" t="str">
        <f>IFERROR(TEXT('RAW DATA'!B203,"MMMM"),"UKNNOWN")</f>
        <v>April</v>
      </c>
      <c r="S203" s="5">
        <f>IFERROR(MONTH('RAW DATA'!B203),0)</f>
        <v>4</v>
      </c>
      <c r="T203" s="3" t="str">
        <f t="shared" si="6"/>
        <v>Q2</v>
      </c>
      <c r="U203" s="3" t="str">
        <f>IF('RAW DATA'!I203&gt;20,"High",IF('RAW DATA'!I203&gt;10,"Medium","Low"))</f>
        <v>Medium</v>
      </c>
      <c r="V203" s="3" t="str">
        <f>IF('RAW DATA'!B203="","Yes","No")</f>
        <v>No</v>
      </c>
      <c r="W203" s="2" t="str">
        <f>IF(COUNTIF(A$2:A502,A203)&gt;1,"Duplicate","OK")</f>
        <v>OK</v>
      </c>
      <c r="X203">
        <f t="shared" si="7"/>
        <v>4</v>
      </c>
    </row>
    <row r="204" spans="1:24" x14ac:dyDescent="0.25">
      <c r="A204" s="2" t="s">
        <v>425</v>
      </c>
      <c r="B204" s="2" t="s">
        <v>426</v>
      </c>
      <c r="C204" s="2" t="s">
        <v>31</v>
      </c>
      <c r="D204" s="2" t="str">
        <f>PROPER('RAW DATA'!D204)</f>
        <v>David Habimana</v>
      </c>
      <c r="E204" s="2" t="s">
        <v>33</v>
      </c>
      <c r="F204" s="2" t="s">
        <v>34</v>
      </c>
      <c r="G204" s="2" t="s">
        <v>22</v>
      </c>
      <c r="H204" s="2" t="s">
        <v>80</v>
      </c>
      <c r="I204" s="5">
        <f>IFERROR(IF('RAW DATA'!I204="",AVERAGE('RAW DATA'!I$2:I$301),'RAW DATA'!I204),0)</f>
        <v>8.3000000000000007</v>
      </c>
      <c r="J204" s="2">
        <v>1</v>
      </c>
      <c r="K204" s="2" t="s">
        <v>24</v>
      </c>
      <c r="L204" s="2">
        <f>IFERROR(IF('RAW DATA'!L204="",3,'RAW DATA'!L204),3)</f>
        <v>4</v>
      </c>
      <c r="M204" s="2" t="s">
        <v>25</v>
      </c>
      <c r="N204" s="2" t="s">
        <v>26</v>
      </c>
      <c r="O204" s="2">
        <v>0</v>
      </c>
      <c r="P204" s="2" t="s">
        <v>27</v>
      </c>
      <c r="Q204" s="9" t="s">
        <v>36</v>
      </c>
      <c r="R204" s="2" t="str">
        <f>IFERROR(TEXT('RAW DATA'!B204,"MMMM"),"UKNNOWN")</f>
        <v>December</v>
      </c>
      <c r="S204" s="5">
        <f>IFERROR(MONTH('RAW DATA'!B204),0)</f>
        <v>12</v>
      </c>
      <c r="T204" s="2" t="str">
        <f t="shared" si="6"/>
        <v>Q4</v>
      </c>
      <c r="U204" s="2" t="str">
        <f>IF('RAW DATA'!I204&gt;20,"High",IF('RAW DATA'!I204&gt;10,"Medium","Low"))</f>
        <v>Low</v>
      </c>
      <c r="V204" s="2" t="str">
        <f>IF('RAW DATA'!B204="","Yes","No")</f>
        <v>No</v>
      </c>
      <c r="W204" s="2" t="str">
        <f>IF(COUNTIF(A$2:A503,A204)&gt;1,"Duplicate","OK")</f>
        <v>OK</v>
      </c>
      <c r="X204">
        <f t="shared" si="7"/>
        <v>4</v>
      </c>
    </row>
    <row r="205" spans="1:24" x14ac:dyDescent="0.25">
      <c r="A205" s="3" t="s">
        <v>427</v>
      </c>
      <c r="B205" s="3" t="s">
        <v>428</v>
      </c>
      <c r="C205" s="3" t="s">
        <v>18</v>
      </c>
      <c r="D205" s="2" t="str">
        <f>PROPER('RAW DATA'!D205)</f>
        <v>Bob Nshimiyimana</v>
      </c>
      <c r="E205" s="3" t="s">
        <v>20</v>
      </c>
      <c r="F205" s="3" t="s">
        <v>21</v>
      </c>
      <c r="G205" s="3" t="s">
        <v>43</v>
      </c>
      <c r="H205" s="3" t="s">
        <v>95</v>
      </c>
      <c r="I205" s="5">
        <f>IFERROR(IF('RAW DATA'!I205="",AVERAGE('RAW DATA'!I$2:I$301),'RAW DATA'!I205),0)</f>
        <v>11.5</v>
      </c>
      <c r="J205" s="3">
        <v>5</v>
      </c>
      <c r="K205" s="3" t="s">
        <v>24</v>
      </c>
      <c r="L205" s="2">
        <f>IFERROR(IF('RAW DATA'!L205="",3,'RAW DATA'!L205),3)</f>
        <v>4</v>
      </c>
      <c r="M205" s="3" t="s">
        <v>25</v>
      </c>
      <c r="N205" s="3" t="s">
        <v>26</v>
      </c>
      <c r="O205" s="3">
        <v>0</v>
      </c>
      <c r="P205" s="3" t="s">
        <v>13</v>
      </c>
      <c r="Q205" s="10" t="s">
        <v>28</v>
      </c>
      <c r="R205" s="3" t="str">
        <f>IFERROR(TEXT('RAW DATA'!B205,"MMMM"),"UKNNOWN")</f>
        <v>October</v>
      </c>
      <c r="S205" s="5">
        <f>IFERROR(MONTH('RAW DATA'!B205),0)</f>
        <v>10</v>
      </c>
      <c r="T205" s="3" t="str">
        <f t="shared" si="6"/>
        <v>Q4</v>
      </c>
      <c r="U205" s="3" t="str">
        <f>IF('RAW DATA'!I205&gt;20,"High",IF('RAW DATA'!I205&gt;10,"Medium","Low"))</f>
        <v>Medium</v>
      </c>
      <c r="V205" s="3" t="str">
        <f>IF('RAW DATA'!B205="","Yes","No")</f>
        <v>No</v>
      </c>
      <c r="W205" s="2" t="str">
        <f>IF(COUNTIF(A$2:A504,A205)&gt;1,"Duplicate","OK")</f>
        <v>OK</v>
      </c>
      <c r="X205">
        <f t="shared" si="7"/>
        <v>4</v>
      </c>
    </row>
    <row r="206" spans="1:24" x14ac:dyDescent="0.25">
      <c r="A206" s="2" t="s">
        <v>429</v>
      </c>
      <c r="B206" s="2" t="s">
        <v>430</v>
      </c>
      <c r="C206" s="2" t="s">
        <v>31</v>
      </c>
      <c r="D206" s="2" t="str">
        <f>PROPER('RAW DATA'!D206)</f>
        <v>David Habimana</v>
      </c>
      <c r="E206" s="2" t="s">
        <v>33</v>
      </c>
      <c r="F206" s="2" t="s">
        <v>34</v>
      </c>
      <c r="G206" s="2" t="s">
        <v>22</v>
      </c>
      <c r="H206" s="2" t="s">
        <v>65</v>
      </c>
      <c r="I206" s="5">
        <f>IFERROR(IF('RAW DATA'!I206="",AVERAGE('RAW DATA'!I$2:I$301),'RAW DATA'!I206),0)</f>
        <v>7.3</v>
      </c>
      <c r="J206" s="2">
        <v>1.7</v>
      </c>
      <c r="K206" s="2" t="s">
        <v>24</v>
      </c>
      <c r="L206" s="2">
        <f>IFERROR(IF('RAW DATA'!L206="",3,'RAW DATA'!L206),3)</f>
        <v>5</v>
      </c>
      <c r="M206" s="2" t="s">
        <v>51</v>
      </c>
      <c r="N206" s="2" t="s">
        <v>26</v>
      </c>
      <c r="O206" s="2">
        <v>1</v>
      </c>
      <c r="P206" s="2" t="s">
        <v>45</v>
      </c>
      <c r="Q206" s="9" t="s">
        <v>36</v>
      </c>
      <c r="R206" s="2" t="str">
        <f>IFERROR(TEXT('RAW DATA'!B206,"MMMM"),"UKNNOWN")</f>
        <v>December</v>
      </c>
      <c r="S206" s="5">
        <f>IFERROR(MONTH('RAW DATA'!B206),0)</f>
        <v>12</v>
      </c>
      <c r="T206" s="2" t="str">
        <f t="shared" si="6"/>
        <v>Q4</v>
      </c>
      <c r="U206" s="2" t="str">
        <f>IF('RAW DATA'!I206&gt;20,"High",IF('RAW DATA'!I206&gt;10,"Medium","Low"))</f>
        <v>Low</v>
      </c>
      <c r="V206" s="2" t="str">
        <f>IF('RAW DATA'!B206="","Yes","No")</f>
        <v>No</v>
      </c>
      <c r="W206" s="2" t="str">
        <f>IF(COUNTIF(A$2:A505,A206)&gt;1,"Duplicate","OK")</f>
        <v>OK</v>
      </c>
      <c r="X206">
        <f t="shared" si="7"/>
        <v>5</v>
      </c>
    </row>
    <row r="207" spans="1:24" x14ac:dyDescent="0.25">
      <c r="A207" s="3" t="s">
        <v>431</v>
      </c>
      <c r="B207" s="3" t="s">
        <v>432</v>
      </c>
      <c r="C207" s="3" t="s">
        <v>63</v>
      </c>
      <c r="D207" s="2" t="str">
        <f>PROPER('RAW DATA'!D207)</f>
        <v>Henry Bizimana</v>
      </c>
      <c r="E207" s="3" t="s">
        <v>33</v>
      </c>
      <c r="F207" s="3" t="s">
        <v>34</v>
      </c>
      <c r="G207" s="3" t="s">
        <v>22</v>
      </c>
      <c r="H207" s="3" t="s">
        <v>35</v>
      </c>
      <c r="I207" s="5">
        <f>IFERROR(IF('RAW DATA'!I207="",AVERAGE('RAW DATA'!I$2:I$301),'RAW DATA'!I207),0)</f>
        <v>4.5</v>
      </c>
      <c r="J207" s="3">
        <v>3</v>
      </c>
      <c r="K207" s="3" t="s">
        <v>24</v>
      </c>
      <c r="L207" s="2">
        <f>IFERROR(IF('RAW DATA'!L207="",3,'RAW DATA'!L207),3)</f>
        <v>5</v>
      </c>
      <c r="M207" s="3" t="s">
        <v>25</v>
      </c>
      <c r="N207" s="3" t="s">
        <v>26</v>
      </c>
      <c r="O207" s="3">
        <v>1</v>
      </c>
      <c r="P207" s="3" t="s">
        <v>45</v>
      </c>
      <c r="Q207" s="10" t="s">
        <v>67</v>
      </c>
      <c r="R207" s="3" t="str">
        <f>IFERROR(TEXT('RAW DATA'!B207,"MMMM"),"UKNNOWN")</f>
        <v>July</v>
      </c>
      <c r="S207" s="5">
        <f>IFERROR(MONTH('RAW DATA'!B207),0)</f>
        <v>7</v>
      </c>
      <c r="T207" s="3" t="str">
        <f t="shared" si="6"/>
        <v>Q3</v>
      </c>
      <c r="U207" s="3" t="str">
        <f>IF('RAW DATA'!I207&gt;20,"High",IF('RAW DATA'!I207&gt;10,"Medium","Low"))</f>
        <v>Low</v>
      </c>
      <c r="V207" s="3" t="str">
        <f>IF('RAW DATA'!B207="","Yes","No")</f>
        <v>No</v>
      </c>
      <c r="W207" s="2" t="str">
        <f>IF(COUNTIF(A$2:A506,A207)&gt;1,"Duplicate","OK")</f>
        <v>OK</v>
      </c>
      <c r="X207">
        <f t="shared" si="7"/>
        <v>5</v>
      </c>
    </row>
    <row r="208" spans="1:24" x14ac:dyDescent="0.25">
      <c r="A208" s="2" t="s">
        <v>433</v>
      </c>
      <c r="B208" s="2" t="s">
        <v>434</v>
      </c>
      <c r="C208" s="2" t="s">
        <v>56</v>
      </c>
      <c r="D208" s="2" t="str">
        <f>PROPER('RAW DATA'!D208)</f>
        <v>John Gasana</v>
      </c>
      <c r="E208" s="2" t="s">
        <v>41</v>
      </c>
      <c r="F208" s="2" t="s">
        <v>42</v>
      </c>
      <c r="G208" s="2" t="s">
        <v>22</v>
      </c>
      <c r="H208" s="2" t="s">
        <v>23</v>
      </c>
      <c r="I208" s="5">
        <f>IFERROR(IF('RAW DATA'!I208="",AVERAGE('RAW DATA'!I$2:I$301),'RAW DATA'!I208),0)</f>
        <v>10.8</v>
      </c>
      <c r="J208" s="2">
        <v>4.9000000000000004</v>
      </c>
      <c r="K208" s="2" t="s">
        <v>24</v>
      </c>
      <c r="L208" s="2">
        <f>IFERROR(IF('RAW DATA'!L208="",3,'RAW DATA'!L208),3)</f>
        <v>5</v>
      </c>
      <c r="M208" s="2" t="s">
        <v>90</v>
      </c>
      <c r="N208" s="2" t="s">
        <v>26</v>
      </c>
      <c r="O208" s="2">
        <v>0</v>
      </c>
      <c r="P208" s="2" t="s">
        <v>45</v>
      </c>
      <c r="Q208" s="9" t="s">
        <v>60</v>
      </c>
      <c r="R208" s="2" t="str">
        <f>IFERROR(TEXT('RAW DATA'!B208,"MMMM"),"UKNNOWN")</f>
        <v>April</v>
      </c>
      <c r="S208" s="5">
        <f>IFERROR(MONTH('RAW DATA'!B208),0)</f>
        <v>4</v>
      </c>
      <c r="T208" s="2" t="str">
        <f t="shared" si="6"/>
        <v>Q2</v>
      </c>
      <c r="U208" s="2" t="str">
        <f>IF('RAW DATA'!I208&gt;20,"High",IF('RAW DATA'!I208&gt;10,"Medium","Low"))</f>
        <v>Medium</v>
      </c>
      <c r="V208" s="2" t="str">
        <f>IF('RAW DATA'!B208="","Yes","No")</f>
        <v>No</v>
      </c>
      <c r="W208" s="2" t="str">
        <f>IF(COUNTIF(A$2:A507,A208)&gt;1,"Duplicate","OK")</f>
        <v>OK</v>
      </c>
      <c r="X208">
        <f t="shared" si="7"/>
        <v>5</v>
      </c>
    </row>
    <row r="209" spans="1:24" x14ac:dyDescent="0.25">
      <c r="A209" s="3" t="s">
        <v>435</v>
      </c>
      <c r="B209" s="3" t="s">
        <v>242</v>
      </c>
      <c r="C209" s="3" t="s">
        <v>70</v>
      </c>
      <c r="D209" s="2" t="str">
        <f>PROPER('RAW DATA'!D209)</f>
        <v>Claire Mukamana</v>
      </c>
      <c r="E209" s="3" t="s">
        <v>33</v>
      </c>
      <c r="F209" s="3" t="s">
        <v>34</v>
      </c>
      <c r="G209" s="3" t="s">
        <v>22</v>
      </c>
      <c r="H209" s="3" t="s">
        <v>95</v>
      </c>
      <c r="I209" s="5">
        <f>IFERROR(IF('RAW DATA'!I209="",AVERAGE('RAW DATA'!I$2:I$301),'RAW DATA'!I209),0)</f>
        <v>8.6</v>
      </c>
      <c r="J209" s="3">
        <v>0.6</v>
      </c>
      <c r="K209" s="3" t="s">
        <v>24</v>
      </c>
      <c r="L209" s="2">
        <f>IFERROR(IF('RAW DATA'!L209="",3,'RAW DATA'!L209),3)</f>
        <v>5</v>
      </c>
      <c r="M209" s="3" t="s">
        <v>59</v>
      </c>
      <c r="N209" s="3" t="s">
        <v>26</v>
      </c>
      <c r="O209" s="3">
        <v>1</v>
      </c>
      <c r="P209" s="3" t="s">
        <v>66</v>
      </c>
      <c r="Q209" s="10" t="s">
        <v>73</v>
      </c>
      <c r="R209" s="3" t="str">
        <f>IFERROR(TEXT('RAW DATA'!B209,"MMMM"),"UKNNOWN")</f>
        <v>July</v>
      </c>
      <c r="S209" s="5">
        <f>IFERROR(MONTH('RAW DATA'!B209),0)</f>
        <v>7</v>
      </c>
      <c r="T209" s="3" t="str">
        <f t="shared" si="6"/>
        <v>Q3</v>
      </c>
      <c r="U209" s="3" t="str">
        <f>IF('RAW DATA'!I209&gt;20,"High",IF('RAW DATA'!I209&gt;10,"Medium","Low"))</f>
        <v>Low</v>
      </c>
      <c r="V209" s="3" t="str">
        <f>IF('RAW DATA'!B209="","Yes","No")</f>
        <v>No</v>
      </c>
      <c r="W209" s="2" t="str">
        <f>IF(COUNTIF(A$2:A508,A209)&gt;1,"Duplicate","OK")</f>
        <v>OK</v>
      </c>
      <c r="X209">
        <f t="shared" si="7"/>
        <v>5</v>
      </c>
    </row>
    <row r="210" spans="1:24" x14ac:dyDescent="0.25">
      <c r="A210" s="2" t="s">
        <v>436</v>
      </c>
      <c r="B210" s="2" t="s">
        <v>327</v>
      </c>
      <c r="C210" s="2" t="s">
        <v>18</v>
      </c>
      <c r="D210" s="2" t="str">
        <f>PROPER('RAW DATA'!D210)</f>
        <v>Bob Nshimiyimana</v>
      </c>
      <c r="E210" s="2" t="s">
        <v>20</v>
      </c>
      <c r="F210" s="2" t="s">
        <v>21</v>
      </c>
      <c r="G210" s="2" t="s">
        <v>43</v>
      </c>
      <c r="H210" s="2" t="s">
        <v>44</v>
      </c>
      <c r="I210" s="5">
        <f>IFERROR(IF('RAW DATA'!I210="",AVERAGE('RAW DATA'!I$2:I$301),'RAW DATA'!I210),0)</f>
        <v>6.2</v>
      </c>
      <c r="J210" s="2">
        <v>1.3</v>
      </c>
      <c r="K210" s="2" t="s">
        <v>24</v>
      </c>
      <c r="L210" s="2">
        <f>IFERROR(IF('RAW DATA'!L210="",3,'RAW DATA'!L210),3)</f>
        <v>4</v>
      </c>
      <c r="M210" s="2" t="s">
        <v>51</v>
      </c>
      <c r="N210" s="2" t="s">
        <v>26</v>
      </c>
      <c r="O210" s="2">
        <v>1</v>
      </c>
      <c r="P210" s="2" t="s">
        <v>45</v>
      </c>
      <c r="Q210" s="9" t="s">
        <v>28</v>
      </c>
      <c r="R210" s="2" t="str">
        <f>IFERROR(TEXT('RAW DATA'!B210,"MMMM"),"UKNNOWN")</f>
        <v>July</v>
      </c>
      <c r="S210" s="5">
        <f>IFERROR(MONTH('RAW DATA'!B210),0)</f>
        <v>7</v>
      </c>
      <c r="T210" s="2" t="str">
        <f t="shared" si="6"/>
        <v>Q3</v>
      </c>
      <c r="U210" s="2" t="str">
        <f>IF('RAW DATA'!I210&gt;20,"High",IF('RAW DATA'!I210&gt;10,"Medium","Low"))</f>
        <v>Low</v>
      </c>
      <c r="V210" s="2" t="str">
        <f>IF('RAW DATA'!B210="","Yes","No")</f>
        <v>No</v>
      </c>
      <c r="W210" s="2" t="str">
        <f>IF(COUNTIF(A$2:A509,A210)&gt;1,"Duplicate","OK")</f>
        <v>OK</v>
      </c>
      <c r="X210">
        <f t="shared" si="7"/>
        <v>4</v>
      </c>
    </row>
    <row r="211" spans="1:24" x14ac:dyDescent="0.25">
      <c r="A211" s="3" t="s">
        <v>437</v>
      </c>
      <c r="B211" s="3" t="s">
        <v>438</v>
      </c>
      <c r="C211" s="3" t="s">
        <v>31</v>
      </c>
      <c r="D211" s="2" t="str">
        <f>PROPER('RAW DATA'!D211)</f>
        <v>David Habimana</v>
      </c>
      <c r="E211" s="3" t="s">
        <v>33</v>
      </c>
      <c r="F211" s="3" t="s">
        <v>34</v>
      </c>
      <c r="G211" s="3" t="s">
        <v>22</v>
      </c>
      <c r="H211" s="3" t="s">
        <v>44</v>
      </c>
      <c r="I211" s="5">
        <f>IFERROR(IF('RAW DATA'!I211="",AVERAGE('RAW DATA'!I$2:I$301),'RAW DATA'!I211),0)</f>
        <v>10.6</v>
      </c>
      <c r="J211" s="3">
        <v>1.1000000000000001</v>
      </c>
      <c r="K211" s="3" t="s">
        <v>24</v>
      </c>
      <c r="L211" s="2">
        <f>IFERROR(IF('RAW DATA'!L211="",3,'RAW DATA'!L211),3)</f>
        <v>5</v>
      </c>
      <c r="M211" s="3" t="s">
        <v>81</v>
      </c>
      <c r="N211" s="3" t="s">
        <v>26</v>
      </c>
      <c r="O211" s="3">
        <v>1</v>
      </c>
      <c r="P211" s="3" t="s">
        <v>27</v>
      </c>
      <c r="Q211" s="10" t="s">
        <v>36</v>
      </c>
      <c r="R211" s="3" t="str">
        <f>IFERROR(TEXT('RAW DATA'!B211,"MMMM"),"UKNNOWN")</f>
        <v>March</v>
      </c>
      <c r="S211" s="5">
        <f>IFERROR(MONTH('RAW DATA'!B211),0)</f>
        <v>3</v>
      </c>
      <c r="T211" s="3" t="str">
        <f t="shared" si="6"/>
        <v>Q1</v>
      </c>
      <c r="U211" s="3" t="str">
        <f>IF('RAW DATA'!I211&gt;20,"High",IF('RAW DATA'!I211&gt;10,"Medium","Low"))</f>
        <v>Medium</v>
      </c>
      <c r="V211" s="3" t="str">
        <f>IF('RAW DATA'!B211="","Yes","No")</f>
        <v>No</v>
      </c>
      <c r="W211" s="2" t="str">
        <f>IF(COUNTIF(A$2:A510,A211)&gt;1,"Duplicate","OK")</f>
        <v>OK</v>
      </c>
      <c r="X211">
        <f t="shared" si="7"/>
        <v>5</v>
      </c>
    </row>
    <row r="212" spans="1:24" x14ac:dyDescent="0.25">
      <c r="A212" s="2" t="s">
        <v>439</v>
      </c>
      <c r="B212" s="2" t="s">
        <v>102</v>
      </c>
      <c r="C212" s="2" t="s">
        <v>63</v>
      </c>
      <c r="D212" s="2" t="str">
        <f>PROPER('RAW DATA'!D212)</f>
        <v>Henry Bizimana</v>
      </c>
      <c r="E212" s="2" t="s">
        <v>33</v>
      </c>
      <c r="F212" s="2" t="s">
        <v>34</v>
      </c>
      <c r="G212" s="2" t="s">
        <v>22</v>
      </c>
      <c r="H212" s="2" t="s">
        <v>23</v>
      </c>
      <c r="I212" s="5">
        <f>IFERROR(IF('RAW DATA'!I212="",AVERAGE('RAW DATA'!I$2:I$301),'RAW DATA'!I212),0)</f>
        <v>7.6041237113402103</v>
      </c>
      <c r="J212" s="2">
        <v>5.3</v>
      </c>
      <c r="K212" s="2" t="s">
        <v>24</v>
      </c>
      <c r="L212" s="2">
        <f>IFERROR(IF('RAW DATA'!L212="",3,'RAW DATA'!L212),3)</f>
        <v>5</v>
      </c>
      <c r="M212" s="2" t="s">
        <v>81</v>
      </c>
      <c r="N212" s="2" t="s">
        <v>26</v>
      </c>
      <c r="O212" s="2">
        <v>0</v>
      </c>
      <c r="P212" s="2" t="s">
        <v>45</v>
      </c>
      <c r="Q212" s="9" t="s">
        <v>67</v>
      </c>
      <c r="R212" s="2" t="str">
        <f>IFERROR(TEXT('RAW DATA'!B212,"MMMM"),"UKNNOWN")</f>
        <v>May</v>
      </c>
      <c r="S212" s="5">
        <f>IFERROR(MONTH('RAW DATA'!B212),0)</f>
        <v>5</v>
      </c>
      <c r="T212" s="2" t="str">
        <f t="shared" si="6"/>
        <v>Q2</v>
      </c>
      <c r="U212" s="2" t="str">
        <f>IF('RAW DATA'!I212&gt;20,"High",IF('RAW DATA'!I212&gt;10,"Medium","Low"))</f>
        <v>Low</v>
      </c>
      <c r="V212" s="2" t="str">
        <f>IF('RAW DATA'!B212="","Yes","No")</f>
        <v>No</v>
      </c>
      <c r="W212" s="2" t="str">
        <f>IF(COUNTIF(A$2:A511,A212)&gt;1,"Duplicate","OK")</f>
        <v>OK</v>
      </c>
      <c r="X212">
        <f t="shared" si="7"/>
        <v>5</v>
      </c>
    </row>
    <row r="213" spans="1:24" x14ac:dyDescent="0.25">
      <c r="A213" s="3" t="s">
        <v>440</v>
      </c>
      <c r="B213" s="3" t="s">
        <v>441</v>
      </c>
      <c r="C213" s="3" t="s">
        <v>18</v>
      </c>
      <c r="D213" s="2" t="str">
        <f>PROPER('RAW DATA'!D213)</f>
        <v>Bob Nshimiyimana</v>
      </c>
      <c r="E213" s="3" t="s">
        <v>20</v>
      </c>
      <c r="F213" s="3" t="s">
        <v>21</v>
      </c>
      <c r="G213" s="3" t="s">
        <v>43</v>
      </c>
      <c r="H213" s="3" t="s">
        <v>44</v>
      </c>
      <c r="I213" s="5">
        <f>IFERROR(IF('RAW DATA'!I213="",AVERAGE('RAW DATA'!I$2:I$301),'RAW DATA'!I213),0)</f>
        <v>8.6</v>
      </c>
      <c r="J213" s="3">
        <v>4.3</v>
      </c>
      <c r="K213" s="3" t="s">
        <v>24</v>
      </c>
      <c r="L213" s="2">
        <f>IFERROR(IF('RAW DATA'!L213="",3,'RAW DATA'!L213),3)</f>
        <v>4</v>
      </c>
      <c r="M213" s="3" t="s">
        <v>59</v>
      </c>
      <c r="N213" s="3" t="s">
        <v>26</v>
      </c>
      <c r="O213" s="3">
        <v>0</v>
      </c>
      <c r="P213" s="3" t="s">
        <v>13</v>
      </c>
      <c r="Q213" s="10" t="s">
        <v>28</v>
      </c>
      <c r="R213" s="3" t="str">
        <f>IFERROR(TEXT('RAW DATA'!B213,"MMMM"),"UKNNOWN")</f>
        <v>April</v>
      </c>
      <c r="S213" s="5">
        <f>IFERROR(MONTH('RAW DATA'!B213),0)</f>
        <v>4</v>
      </c>
      <c r="T213" s="3" t="str">
        <f t="shared" si="6"/>
        <v>Q2</v>
      </c>
      <c r="U213" s="3" t="str">
        <f>IF('RAW DATA'!I213&gt;20,"High",IF('RAW DATA'!I213&gt;10,"Medium","Low"))</f>
        <v>Low</v>
      </c>
      <c r="V213" s="3" t="str">
        <f>IF('RAW DATA'!B213="","Yes","No")</f>
        <v>No</v>
      </c>
      <c r="W213" s="2" t="str">
        <f>IF(COUNTIF(A$2:A512,A213)&gt;1,"Duplicate","OK")</f>
        <v>OK</v>
      </c>
      <c r="X213">
        <f t="shared" si="7"/>
        <v>4</v>
      </c>
    </row>
    <row r="214" spans="1:24" x14ac:dyDescent="0.25">
      <c r="A214" s="2" t="s">
        <v>442</v>
      </c>
      <c r="B214" s="2" t="s">
        <v>443</v>
      </c>
      <c r="C214" s="2" t="s">
        <v>85</v>
      </c>
      <c r="D214" s="2" t="str">
        <f>PROPER('RAW DATA'!D214)</f>
        <v>Irene Mutesi</v>
      </c>
      <c r="E214" s="2" t="s">
        <v>20</v>
      </c>
      <c r="F214" s="2" t="s">
        <v>21</v>
      </c>
      <c r="G214" s="2" t="s">
        <v>41</v>
      </c>
      <c r="H214" s="2" t="s">
        <v>80</v>
      </c>
      <c r="I214" s="5">
        <f>IFERROR(IF('RAW DATA'!I214="",AVERAGE('RAW DATA'!I$2:I$301),'RAW DATA'!I214),0)</f>
        <v>9.1999999999999993</v>
      </c>
      <c r="J214" s="2">
        <v>7.9</v>
      </c>
      <c r="K214" s="2" t="s">
        <v>26</v>
      </c>
      <c r="L214" s="2">
        <f>IFERROR(IF('RAW DATA'!L214="",3,'RAW DATA'!L214),3)</f>
        <v>2</v>
      </c>
      <c r="M214" s="2" t="s">
        <v>51</v>
      </c>
      <c r="N214" s="2" t="s">
        <v>26</v>
      </c>
      <c r="O214" s="2">
        <v>1</v>
      </c>
      <c r="P214" s="2" t="s">
        <v>13</v>
      </c>
      <c r="Q214" s="9" t="s">
        <v>87</v>
      </c>
      <c r="R214" s="3" t="str">
        <f>IFERROR(TEXT('RAW DATA'!B214,"MMMM"),"UKNNOWN")</f>
        <v>April</v>
      </c>
      <c r="S214" s="5">
        <f>IFERROR(MONTH('RAW DATA'!B214),0)</f>
        <v>4</v>
      </c>
      <c r="T214" s="2" t="str">
        <f t="shared" si="6"/>
        <v>Q2</v>
      </c>
      <c r="U214" s="2" t="str">
        <f>IF('RAW DATA'!I214&gt;20,"High",IF('RAW DATA'!I214&gt;10,"Medium","Low"))</f>
        <v>Low</v>
      </c>
      <c r="V214" s="2" t="str">
        <f>IF('RAW DATA'!B214="","Yes","No")</f>
        <v>No</v>
      </c>
      <c r="W214" s="2" t="str">
        <f>IF(COUNTIF(A$2:A513,A214)&gt;1,"Duplicate","OK")</f>
        <v>OK</v>
      </c>
      <c r="X214">
        <f t="shared" si="7"/>
        <v>2</v>
      </c>
    </row>
    <row r="215" spans="1:24" x14ac:dyDescent="0.25">
      <c r="A215" s="3" t="s">
        <v>444</v>
      </c>
      <c r="B215" s="3" t="s">
        <v>445</v>
      </c>
      <c r="C215" s="3" t="s">
        <v>49</v>
      </c>
      <c r="D215" s="2" t="str">
        <f>PROPER('RAW DATA'!D215)</f>
        <v>Frank Nzeyimana</v>
      </c>
      <c r="E215" s="3" t="s">
        <v>41</v>
      </c>
      <c r="F215" s="3" t="s">
        <v>42</v>
      </c>
      <c r="G215" s="3" t="s">
        <v>43</v>
      </c>
      <c r="H215" s="3" t="s">
        <v>35</v>
      </c>
      <c r="I215" s="5">
        <f>IFERROR(IF('RAW DATA'!I215="",AVERAGE('RAW DATA'!I$2:I$301),'RAW DATA'!I215),0)</f>
        <v>8.5</v>
      </c>
      <c r="J215" s="3">
        <v>8.1</v>
      </c>
      <c r="K215" s="3" t="s">
        <v>24</v>
      </c>
      <c r="L215" s="2">
        <f>IFERROR(IF('RAW DATA'!L215="",3,'RAW DATA'!L215),3)</f>
        <v>5</v>
      </c>
      <c r="M215" s="3" t="s">
        <v>25</v>
      </c>
      <c r="N215" s="3" t="s">
        <v>26</v>
      </c>
      <c r="O215" s="3">
        <v>0</v>
      </c>
      <c r="P215" s="3" t="s">
        <v>52</v>
      </c>
      <c r="Q215" s="10" t="s">
        <v>53</v>
      </c>
      <c r="R215" s="2" t="str">
        <f>IFERROR(TEXT('RAW DATA'!B215,"MMMM"),"UKNNOWN")</f>
        <v>November</v>
      </c>
      <c r="S215" s="5">
        <f>IFERROR(MONTH('RAW DATA'!B215),0)</f>
        <v>11</v>
      </c>
      <c r="T215" s="3" t="str">
        <f t="shared" si="6"/>
        <v>Q4</v>
      </c>
      <c r="U215" s="3" t="str">
        <f>IF('RAW DATA'!I215&gt;20,"High",IF('RAW DATA'!I215&gt;10,"Medium","Low"))</f>
        <v>Low</v>
      </c>
      <c r="V215" s="3" t="str">
        <f>IF('RAW DATA'!B215="","Yes","No")</f>
        <v>No</v>
      </c>
      <c r="W215" s="2" t="str">
        <f>IF(COUNTIF(A$2:A514,A215)&gt;1,"Duplicate","OK")</f>
        <v>OK</v>
      </c>
      <c r="X215">
        <f t="shared" si="7"/>
        <v>5</v>
      </c>
    </row>
    <row r="216" spans="1:24" x14ac:dyDescent="0.25">
      <c r="A216" s="2" t="s">
        <v>446</v>
      </c>
      <c r="B216" s="2" t="s">
        <v>447</v>
      </c>
      <c r="C216" s="2" t="s">
        <v>56</v>
      </c>
      <c r="D216" s="2" t="str">
        <f>PROPER('RAW DATA'!D216)</f>
        <v>John Gasana</v>
      </c>
      <c r="E216" s="2" t="s">
        <v>41</v>
      </c>
      <c r="F216" s="2" t="s">
        <v>42</v>
      </c>
      <c r="G216" s="2" t="s">
        <v>22</v>
      </c>
      <c r="H216" s="2" t="s">
        <v>80</v>
      </c>
      <c r="I216" s="5">
        <f>IFERROR(IF('RAW DATA'!I216="",AVERAGE('RAW DATA'!I$2:I$301),'RAW DATA'!I216),0)</f>
        <v>12.8</v>
      </c>
      <c r="J216" s="2">
        <v>1</v>
      </c>
      <c r="K216" s="2" t="s">
        <v>26</v>
      </c>
      <c r="L216" s="2">
        <f>IFERROR(IF('RAW DATA'!L216="",3,'RAW DATA'!L216),3)</f>
        <v>4</v>
      </c>
      <c r="M216" s="2" t="s">
        <v>59</v>
      </c>
      <c r="N216" s="2" t="s">
        <v>26</v>
      </c>
      <c r="O216" s="2">
        <v>0</v>
      </c>
      <c r="P216" s="2" t="s">
        <v>66</v>
      </c>
      <c r="Q216" s="9" t="s">
        <v>60</v>
      </c>
      <c r="R216" s="3" t="str">
        <f>IFERROR(TEXT('RAW DATA'!B216,"MMMM"),"UKNNOWN")</f>
        <v>October</v>
      </c>
      <c r="S216" s="5">
        <f>IFERROR(MONTH('RAW DATA'!B216),0)</f>
        <v>10</v>
      </c>
      <c r="T216" s="2" t="str">
        <f t="shared" si="6"/>
        <v>Q4</v>
      </c>
      <c r="U216" s="2" t="str">
        <f>IF('RAW DATA'!I216&gt;20,"High",IF('RAW DATA'!I216&gt;10,"Medium","Low"))</f>
        <v>Medium</v>
      </c>
      <c r="V216" s="2" t="str">
        <f>IF('RAW DATA'!B216="","Yes","No")</f>
        <v>No</v>
      </c>
      <c r="W216" s="2" t="str">
        <f>IF(COUNTIF(A$2:A515,A216)&gt;1,"Duplicate","OK")</f>
        <v>OK</v>
      </c>
      <c r="X216">
        <f t="shared" si="7"/>
        <v>4</v>
      </c>
    </row>
    <row r="217" spans="1:24" x14ac:dyDescent="0.25">
      <c r="A217" s="3" t="s">
        <v>448</v>
      </c>
      <c r="B217" s="3" t="s">
        <v>242</v>
      </c>
      <c r="C217" s="3" t="s">
        <v>70</v>
      </c>
      <c r="D217" s="2" t="str">
        <f>PROPER('RAW DATA'!D217)</f>
        <v>Claire Mukamana</v>
      </c>
      <c r="E217" s="3" t="s">
        <v>33</v>
      </c>
      <c r="F217" s="3" t="s">
        <v>34</v>
      </c>
      <c r="G217" s="3" t="s">
        <v>43</v>
      </c>
      <c r="H217" s="3" t="s">
        <v>65</v>
      </c>
      <c r="I217" s="5">
        <f>IFERROR(IF('RAW DATA'!I217="",AVERAGE('RAW DATA'!I$2:I$301),'RAW DATA'!I217),0)</f>
        <v>7.4</v>
      </c>
      <c r="J217" s="3">
        <v>5.2</v>
      </c>
      <c r="K217" s="3" t="s">
        <v>24</v>
      </c>
      <c r="L217" s="2">
        <f>IFERROR(IF('RAW DATA'!L217="",3,'RAW DATA'!L217),3)</f>
        <v>4</v>
      </c>
      <c r="M217" s="3" t="s">
        <v>59</v>
      </c>
      <c r="N217" s="3" t="s">
        <v>26</v>
      </c>
      <c r="O217" s="3">
        <v>0</v>
      </c>
      <c r="P217" s="3" t="s">
        <v>13</v>
      </c>
      <c r="Q217" s="10" t="s">
        <v>73</v>
      </c>
      <c r="R217" s="2" t="str">
        <f>IFERROR(TEXT('RAW DATA'!B217,"MMMM"),"UKNNOWN")</f>
        <v>July</v>
      </c>
      <c r="S217" s="5">
        <f>IFERROR(MONTH('RAW DATA'!B217),0)</f>
        <v>7</v>
      </c>
      <c r="T217" s="3" t="str">
        <f t="shared" si="6"/>
        <v>Q3</v>
      </c>
      <c r="U217" s="3" t="str">
        <f>IF('RAW DATA'!I217&gt;20,"High",IF('RAW DATA'!I217&gt;10,"Medium","Low"))</f>
        <v>Low</v>
      </c>
      <c r="V217" s="3" t="str">
        <f>IF('RAW DATA'!B217="","Yes","No")</f>
        <v>No</v>
      </c>
      <c r="W217" s="2" t="str">
        <f>IF(COUNTIF(A$2:A516,A217)&gt;1,"Duplicate","OK")</f>
        <v>OK</v>
      </c>
      <c r="X217">
        <f t="shared" si="7"/>
        <v>4</v>
      </c>
    </row>
    <row r="218" spans="1:24" x14ac:dyDescent="0.25">
      <c r="A218" s="2" t="s">
        <v>449</v>
      </c>
      <c r="B218" s="2" t="s">
        <v>119</v>
      </c>
      <c r="C218" s="2" t="s">
        <v>85</v>
      </c>
      <c r="D218" s="2" t="str">
        <f>PROPER('RAW DATA'!D218)</f>
        <v>Irene Mutesi</v>
      </c>
      <c r="E218" s="2" t="s">
        <v>20</v>
      </c>
      <c r="F218" s="2" t="s">
        <v>21</v>
      </c>
      <c r="G218" s="2" t="s">
        <v>43</v>
      </c>
      <c r="H218" s="2" t="s">
        <v>72</v>
      </c>
      <c r="I218" s="5">
        <f>IFERROR(IF('RAW DATA'!I218="",AVERAGE('RAW DATA'!I$2:I$301),'RAW DATA'!I218),0)</f>
        <v>5.3</v>
      </c>
      <c r="J218" s="2">
        <v>5.0999999999999996</v>
      </c>
      <c r="K218" s="2" t="s">
        <v>24</v>
      </c>
      <c r="L218" s="2">
        <f>IFERROR(IF('RAW DATA'!L218="",3,'RAW DATA'!L218),3)</f>
        <v>4</v>
      </c>
      <c r="M218" s="2" t="s">
        <v>90</v>
      </c>
      <c r="N218" s="2" t="s">
        <v>26</v>
      </c>
      <c r="O218" s="2">
        <v>1</v>
      </c>
      <c r="P218" s="2" t="s">
        <v>13</v>
      </c>
      <c r="Q218" s="9" t="s">
        <v>87</v>
      </c>
      <c r="R218" s="3" t="str">
        <f>IFERROR(TEXT('RAW DATA'!B218,"MMMM"),"UKNNOWN")</f>
        <v>January</v>
      </c>
      <c r="S218" s="5">
        <f>IFERROR(MONTH('RAW DATA'!B218),0)</f>
        <v>1</v>
      </c>
      <c r="T218" s="2" t="str">
        <f t="shared" si="6"/>
        <v>Q1</v>
      </c>
      <c r="U218" s="2" t="str">
        <f>IF('RAW DATA'!I218&gt;20,"High",IF('RAW DATA'!I218&gt;10,"Medium","Low"))</f>
        <v>Low</v>
      </c>
      <c r="V218" s="2" t="str">
        <f>IF('RAW DATA'!B218="","Yes","No")</f>
        <v>No</v>
      </c>
      <c r="W218" s="2" t="str">
        <f>IF(COUNTIF(A$2:A517,A218)&gt;1,"Duplicate","OK")</f>
        <v>OK</v>
      </c>
      <c r="X218">
        <f t="shared" si="7"/>
        <v>4</v>
      </c>
    </row>
    <row r="219" spans="1:24" x14ac:dyDescent="0.25">
      <c r="A219" s="3" t="s">
        <v>450</v>
      </c>
      <c r="B219" s="3" t="s">
        <v>451</v>
      </c>
      <c r="C219" s="3" t="s">
        <v>18</v>
      </c>
      <c r="D219" s="2" t="str">
        <f>PROPER('RAW DATA'!D219)</f>
        <v>Bob Nshimiyimana</v>
      </c>
      <c r="E219" s="3" t="s">
        <v>20</v>
      </c>
      <c r="F219" s="3" t="s">
        <v>21</v>
      </c>
      <c r="G219" s="3" t="s">
        <v>43</v>
      </c>
      <c r="H219" s="3" t="s">
        <v>44</v>
      </c>
      <c r="I219" s="5">
        <f>IFERROR(IF('RAW DATA'!I219="",AVERAGE('RAW DATA'!I$2:I$301),'RAW DATA'!I219),0)</f>
        <v>13.1</v>
      </c>
      <c r="J219" s="3">
        <v>2.2000000000000002</v>
      </c>
      <c r="K219" s="3" t="s">
        <v>26</v>
      </c>
      <c r="L219" s="2">
        <f>IFERROR(IF('RAW DATA'!L219="",3,'RAW DATA'!L219),3)</f>
        <v>2</v>
      </c>
      <c r="M219" s="3" t="s">
        <v>51</v>
      </c>
      <c r="N219" s="3" t="s">
        <v>26</v>
      </c>
      <c r="O219" s="3">
        <v>0</v>
      </c>
      <c r="P219" s="3" t="s">
        <v>45</v>
      </c>
      <c r="Q219" s="10" t="s">
        <v>28</v>
      </c>
      <c r="R219" s="2" t="str">
        <f>IFERROR(TEXT('RAW DATA'!B219,"MMMM"),"UKNNOWN")</f>
        <v>November</v>
      </c>
      <c r="S219" s="5">
        <f>IFERROR(MONTH('RAW DATA'!B219),0)</f>
        <v>11</v>
      </c>
      <c r="T219" s="3" t="str">
        <f t="shared" si="6"/>
        <v>Q4</v>
      </c>
      <c r="U219" s="3" t="str">
        <f>IF('RAW DATA'!I219&gt;20,"High",IF('RAW DATA'!I219&gt;10,"Medium","Low"))</f>
        <v>Medium</v>
      </c>
      <c r="V219" s="3" t="str">
        <f>IF('RAW DATA'!B219="","Yes","No")</f>
        <v>No</v>
      </c>
      <c r="W219" s="2" t="str">
        <f>IF(COUNTIF(A$2:A518,A219)&gt;1,"Duplicate","OK")</f>
        <v>OK</v>
      </c>
      <c r="X219">
        <f t="shared" si="7"/>
        <v>2</v>
      </c>
    </row>
    <row r="220" spans="1:24" x14ac:dyDescent="0.25">
      <c r="A220" s="2" t="s">
        <v>452</v>
      </c>
      <c r="B220" s="2" t="s">
        <v>357</v>
      </c>
      <c r="C220" s="2" t="s">
        <v>105</v>
      </c>
      <c r="D220" s="2" t="str">
        <f>PROPER('RAW DATA'!D220)</f>
        <v>Alice Uwimana</v>
      </c>
      <c r="E220" s="2" t="s">
        <v>20</v>
      </c>
      <c r="F220" s="2" t="s">
        <v>21</v>
      </c>
      <c r="G220" s="2" t="s">
        <v>43</v>
      </c>
      <c r="H220" s="2" t="s">
        <v>80</v>
      </c>
      <c r="I220" s="5">
        <f>IFERROR(IF('RAW DATA'!I220="",AVERAGE('RAW DATA'!I$2:I$301),'RAW DATA'!I220),0)</f>
        <v>9.4</v>
      </c>
      <c r="J220" s="2">
        <v>3.1</v>
      </c>
      <c r="K220" s="2" t="s">
        <v>24</v>
      </c>
      <c r="L220" s="2">
        <f>IFERROR(IF('RAW DATA'!L220="",3,'RAW DATA'!L220),3)</f>
        <v>5</v>
      </c>
      <c r="M220" s="2" t="s">
        <v>90</v>
      </c>
      <c r="N220" s="2" t="s">
        <v>26</v>
      </c>
      <c r="O220" s="2">
        <v>0</v>
      </c>
      <c r="P220" s="2" t="s">
        <v>52</v>
      </c>
      <c r="Q220" s="9" t="s">
        <v>107</v>
      </c>
      <c r="R220" s="3" t="str">
        <f>IFERROR(TEXT('RAW DATA'!B220,"MMMM"),"UKNNOWN")</f>
        <v>November</v>
      </c>
      <c r="S220" s="5">
        <f>IFERROR(MONTH('RAW DATA'!B220),0)</f>
        <v>11</v>
      </c>
      <c r="T220" s="2" t="str">
        <f t="shared" si="6"/>
        <v>Q4</v>
      </c>
      <c r="U220" s="2" t="str">
        <f>IF('RAW DATA'!I220&gt;20,"High",IF('RAW DATA'!I220&gt;10,"Medium","Low"))</f>
        <v>Low</v>
      </c>
      <c r="V220" s="2" t="str">
        <f>IF('RAW DATA'!B220="","Yes","No")</f>
        <v>No</v>
      </c>
      <c r="W220" s="2" t="str">
        <f>IF(COUNTIF(A$2:A519,A220)&gt;1,"Duplicate","OK")</f>
        <v>OK</v>
      </c>
      <c r="X220">
        <f t="shared" si="7"/>
        <v>5</v>
      </c>
    </row>
    <row r="221" spans="1:24" x14ac:dyDescent="0.25">
      <c r="A221" s="3" t="s">
        <v>453</v>
      </c>
      <c r="B221" s="3" t="s">
        <v>454</v>
      </c>
      <c r="C221" s="3" t="s">
        <v>31</v>
      </c>
      <c r="D221" s="2" t="str">
        <f>PROPER('RAW DATA'!D221)</f>
        <v>David Habimana</v>
      </c>
      <c r="E221" s="3" t="s">
        <v>33</v>
      </c>
      <c r="F221" s="3" t="s">
        <v>34</v>
      </c>
      <c r="G221" s="3" t="s">
        <v>41</v>
      </c>
      <c r="H221" s="3" t="s">
        <v>72</v>
      </c>
      <c r="I221" s="5">
        <f>IFERROR(IF('RAW DATA'!I221="",AVERAGE('RAW DATA'!I$2:I$301),'RAW DATA'!I221),0)</f>
        <v>15.1</v>
      </c>
      <c r="J221" s="3">
        <v>2</v>
      </c>
      <c r="K221" s="3" t="s">
        <v>26</v>
      </c>
      <c r="L221" s="2">
        <f>IFERROR(IF('RAW DATA'!L221="",3,'RAW DATA'!L221),3)</f>
        <v>2</v>
      </c>
      <c r="M221" s="3" t="s">
        <v>59</v>
      </c>
      <c r="N221" s="3" t="s">
        <v>26</v>
      </c>
      <c r="O221" s="3">
        <v>1</v>
      </c>
      <c r="P221" s="3" t="s">
        <v>13</v>
      </c>
      <c r="Q221" s="10" t="s">
        <v>36</v>
      </c>
      <c r="R221" s="2" t="str">
        <f>IFERROR(TEXT('RAW DATA'!B221,"MMMM"),"UKNNOWN")</f>
        <v>January</v>
      </c>
      <c r="S221" s="5">
        <f>IFERROR(MONTH('RAW DATA'!B221),0)</f>
        <v>1</v>
      </c>
      <c r="T221" s="3" t="str">
        <f t="shared" si="6"/>
        <v>Q1</v>
      </c>
      <c r="U221" s="3" t="str">
        <f>IF('RAW DATA'!I221&gt;20,"High",IF('RAW DATA'!I221&gt;10,"Medium","Low"))</f>
        <v>Medium</v>
      </c>
      <c r="V221" s="3" t="str">
        <f>IF('RAW DATA'!B221="","Yes","No")</f>
        <v>No</v>
      </c>
      <c r="W221" s="2" t="str">
        <f>IF(COUNTIF(A$2:A520,A221)&gt;1,"Duplicate","OK")</f>
        <v>OK</v>
      </c>
      <c r="X221">
        <f t="shared" si="7"/>
        <v>2</v>
      </c>
    </row>
    <row r="222" spans="1:24" x14ac:dyDescent="0.25">
      <c r="A222" s="2" t="s">
        <v>455</v>
      </c>
      <c r="B222" s="2" t="s">
        <v>342</v>
      </c>
      <c r="C222" s="2" t="s">
        <v>85</v>
      </c>
      <c r="D222" s="2" t="str">
        <f>PROPER('RAW DATA'!D222)</f>
        <v>Irene Mutesi</v>
      </c>
      <c r="E222" s="2" t="s">
        <v>20</v>
      </c>
      <c r="F222" s="2" t="s">
        <v>21</v>
      </c>
      <c r="G222" s="2" t="s">
        <v>43</v>
      </c>
      <c r="H222" s="2" t="s">
        <v>80</v>
      </c>
      <c r="I222" s="5">
        <f>IFERROR(IF('RAW DATA'!I222="",AVERAGE('RAW DATA'!I$2:I$301),'RAW DATA'!I222),0)</f>
        <v>6.9</v>
      </c>
      <c r="J222" s="2">
        <v>5.5</v>
      </c>
      <c r="K222" s="2" t="s">
        <v>24</v>
      </c>
      <c r="L222" s="2">
        <f>IFERROR(IF('RAW DATA'!L222="",3,'RAW DATA'!L222),3)</f>
        <v>4</v>
      </c>
      <c r="M222" s="2" t="s">
        <v>51</v>
      </c>
      <c r="N222" s="2" t="s">
        <v>26</v>
      </c>
      <c r="O222" s="2">
        <v>1</v>
      </c>
      <c r="P222" s="2" t="s">
        <v>66</v>
      </c>
      <c r="Q222" s="9" t="s">
        <v>87</v>
      </c>
      <c r="R222" s="3" t="str">
        <f>IFERROR(TEXT('RAW DATA'!B222,"MMMM"),"UKNNOWN")</f>
        <v>May</v>
      </c>
      <c r="S222" s="5">
        <f>IFERROR(MONTH('RAW DATA'!B222),0)</f>
        <v>5</v>
      </c>
      <c r="T222" s="2" t="str">
        <f t="shared" si="6"/>
        <v>Q2</v>
      </c>
      <c r="U222" s="2" t="str">
        <f>IF('RAW DATA'!I222&gt;20,"High",IF('RAW DATA'!I222&gt;10,"Medium","Low"))</f>
        <v>Low</v>
      </c>
      <c r="V222" s="2" t="str">
        <f>IF('RAW DATA'!B222="","Yes","No")</f>
        <v>No</v>
      </c>
      <c r="W222" s="2" t="str">
        <f>IF(COUNTIF(A$2:A521,A222)&gt;1,"Duplicate","OK")</f>
        <v>OK</v>
      </c>
      <c r="X222">
        <f t="shared" si="7"/>
        <v>4</v>
      </c>
    </row>
    <row r="223" spans="1:24" x14ac:dyDescent="0.25">
      <c r="A223" s="3" t="s">
        <v>456</v>
      </c>
      <c r="B223" s="3" t="s">
        <v>256</v>
      </c>
      <c r="C223" s="3" t="s">
        <v>63</v>
      </c>
      <c r="D223" s="2" t="str">
        <f>PROPER('RAW DATA'!D223)</f>
        <v>Henry Bizimana</v>
      </c>
      <c r="E223" s="3" t="s">
        <v>33</v>
      </c>
      <c r="F223" s="3" t="s">
        <v>34</v>
      </c>
      <c r="G223" s="3" t="s">
        <v>22</v>
      </c>
      <c r="H223" s="3" t="s">
        <v>23</v>
      </c>
      <c r="I223" s="5">
        <f>IFERROR(IF('RAW DATA'!I223="",AVERAGE('RAW DATA'!I$2:I$301),'RAW DATA'!I223),0)</f>
        <v>14.9</v>
      </c>
      <c r="J223" s="3">
        <v>7.3</v>
      </c>
      <c r="K223" s="3" t="s">
        <v>26</v>
      </c>
      <c r="L223" s="2">
        <f>IFERROR(IF('RAW DATA'!L223="",3,'RAW DATA'!L223),3)</f>
        <v>4</v>
      </c>
      <c r="M223" s="3" t="s">
        <v>51</v>
      </c>
      <c r="N223" s="3" t="s">
        <v>26</v>
      </c>
      <c r="O223" s="3">
        <v>1</v>
      </c>
      <c r="P223" s="3" t="s">
        <v>66</v>
      </c>
      <c r="Q223" s="10" t="s">
        <v>67</v>
      </c>
      <c r="R223" s="2" t="str">
        <f>IFERROR(TEXT('RAW DATA'!B223,"MMMM"),"UKNNOWN")</f>
        <v>September</v>
      </c>
      <c r="S223" s="5">
        <f>IFERROR(MONTH('RAW DATA'!B223),0)</f>
        <v>9</v>
      </c>
      <c r="T223" s="3" t="str">
        <f t="shared" si="6"/>
        <v>Q3</v>
      </c>
      <c r="U223" s="3" t="str">
        <f>IF('RAW DATA'!I223&gt;20,"High",IF('RAW DATA'!I223&gt;10,"Medium","Low"))</f>
        <v>Medium</v>
      </c>
      <c r="V223" s="3" t="str">
        <f>IF('RAW DATA'!B223="","Yes","No")</f>
        <v>No</v>
      </c>
      <c r="W223" s="2" t="str">
        <f>IF(COUNTIF(A$2:A522,A223)&gt;1,"Duplicate","OK")</f>
        <v>OK</v>
      </c>
      <c r="X223">
        <f t="shared" si="7"/>
        <v>4</v>
      </c>
    </row>
    <row r="224" spans="1:24" x14ac:dyDescent="0.25">
      <c r="A224" s="2" t="s">
        <v>457</v>
      </c>
      <c r="B224" s="2" t="s">
        <v>197</v>
      </c>
      <c r="C224" s="2" t="s">
        <v>70</v>
      </c>
      <c r="D224" s="2" t="str">
        <f>PROPER('RAW DATA'!D224)</f>
        <v>Claire Mukamana</v>
      </c>
      <c r="E224" s="2" t="s">
        <v>33</v>
      </c>
      <c r="F224" s="2" t="s">
        <v>34</v>
      </c>
      <c r="G224" s="2" t="s">
        <v>43</v>
      </c>
      <c r="H224" s="2" t="s">
        <v>72</v>
      </c>
      <c r="I224" s="5">
        <f>IFERROR(IF('RAW DATA'!I224="",AVERAGE('RAW DATA'!I$2:I$301),'RAW DATA'!I224),0)</f>
        <v>11.8</v>
      </c>
      <c r="J224" s="2">
        <v>4.3</v>
      </c>
      <c r="K224" s="2" t="s">
        <v>24</v>
      </c>
      <c r="L224" s="2">
        <f>IFERROR(IF('RAW DATA'!L224="",3,'RAW DATA'!L224),3)</f>
        <v>4</v>
      </c>
      <c r="M224" s="2" t="s">
        <v>90</v>
      </c>
      <c r="N224" s="2" t="s">
        <v>26</v>
      </c>
      <c r="O224" s="2">
        <v>1</v>
      </c>
      <c r="P224" s="2" t="s">
        <v>66</v>
      </c>
      <c r="Q224" s="9" t="s">
        <v>73</v>
      </c>
      <c r="R224" s="3" t="str">
        <f>IFERROR(TEXT('RAW DATA'!B224,"MMMM"),"UKNNOWN")</f>
        <v>April</v>
      </c>
      <c r="S224" s="5">
        <f>IFERROR(MONTH('RAW DATA'!B224),0)</f>
        <v>4</v>
      </c>
      <c r="T224" s="2" t="str">
        <f t="shared" si="6"/>
        <v>Q2</v>
      </c>
      <c r="U224" s="2" t="str">
        <f>IF('RAW DATA'!I224&gt;20,"High",IF('RAW DATA'!I224&gt;10,"Medium","Low"))</f>
        <v>Medium</v>
      </c>
      <c r="V224" s="2" t="str">
        <f>IF('RAW DATA'!B224="","Yes","No")</f>
        <v>No</v>
      </c>
      <c r="W224" s="2" t="str">
        <f>IF(COUNTIF(A$2:A523,A224)&gt;1,"Duplicate","OK")</f>
        <v>OK</v>
      </c>
      <c r="X224">
        <f t="shared" si="7"/>
        <v>4</v>
      </c>
    </row>
    <row r="225" spans="1:24" x14ac:dyDescent="0.25">
      <c r="A225" s="3" t="s">
        <v>458</v>
      </c>
      <c r="B225" s="3" t="s">
        <v>459</v>
      </c>
      <c r="C225" s="3" t="s">
        <v>39</v>
      </c>
      <c r="D225" s="2" t="str">
        <f>PROPER('RAW DATA'!D225)</f>
        <v>Grace Uwase</v>
      </c>
      <c r="E225" s="3" t="s">
        <v>41</v>
      </c>
      <c r="F225" s="3" t="s">
        <v>42</v>
      </c>
      <c r="G225" s="3" t="s">
        <v>22</v>
      </c>
      <c r="H225" s="3" t="s">
        <v>95</v>
      </c>
      <c r="I225" s="5">
        <f>IFERROR(IF('RAW DATA'!I225="",AVERAGE('RAW DATA'!I$2:I$301),'RAW DATA'!I225),0)</f>
        <v>6</v>
      </c>
      <c r="J225" s="3">
        <v>3.4</v>
      </c>
      <c r="K225" s="3" t="s">
        <v>24</v>
      </c>
      <c r="L225" s="2">
        <f>IFERROR(IF('RAW DATA'!L225="",3,'RAW DATA'!L225),3)</f>
        <v>4</v>
      </c>
      <c r="M225" s="3" t="s">
        <v>59</v>
      </c>
      <c r="N225" s="3" t="s">
        <v>26</v>
      </c>
      <c r="O225" s="3">
        <v>1</v>
      </c>
      <c r="P225" s="3" t="s">
        <v>66</v>
      </c>
      <c r="Q225" s="10" t="s">
        <v>46</v>
      </c>
      <c r="R225" s="2" t="str">
        <f>IFERROR(TEXT('RAW DATA'!B225,"MMMM"),"UKNNOWN")</f>
        <v>April</v>
      </c>
      <c r="S225" s="5">
        <f>IFERROR(MONTH('RAW DATA'!B225),0)</f>
        <v>4</v>
      </c>
      <c r="T225" s="3" t="str">
        <f t="shared" si="6"/>
        <v>Q2</v>
      </c>
      <c r="U225" s="3" t="str">
        <f>IF('RAW DATA'!I225&gt;20,"High",IF('RAW DATA'!I225&gt;10,"Medium","Low"))</f>
        <v>Low</v>
      </c>
      <c r="V225" s="3" t="str">
        <f>IF('RAW DATA'!B225="","Yes","No")</f>
        <v>No</v>
      </c>
      <c r="W225" s="2" t="str">
        <f>IF(COUNTIF(A$2:A524,A225)&gt;1,"Duplicate","OK")</f>
        <v>OK</v>
      </c>
      <c r="X225">
        <f t="shared" si="7"/>
        <v>4</v>
      </c>
    </row>
    <row r="226" spans="1:24" x14ac:dyDescent="0.25">
      <c r="A226" s="2" t="s">
        <v>460</v>
      </c>
      <c r="B226" s="2" t="s">
        <v>461</v>
      </c>
      <c r="C226" s="2" t="s">
        <v>49</v>
      </c>
      <c r="D226" s="2" t="str">
        <f>PROPER('RAW DATA'!D226)</f>
        <v>Frank Nzeyimana</v>
      </c>
      <c r="E226" s="2" t="s">
        <v>41</v>
      </c>
      <c r="F226" s="2" t="s">
        <v>42</v>
      </c>
      <c r="G226" s="2" t="s">
        <v>43</v>
      </c>
      <c r="H226" s="2" t="s">
        <v>58</v>
      </c>
      <c r="I226" s="5">
        <f>IFERROR(IF('RAW DATA'!I226="",AVERAGE('RAW DATA'!I$2:I$301),'RAW DATA'!I226),0)</f>
        <v>10.3</v>
      </c>
      <c r="J226" s="2">
        <v>6.8</v>
      </c>
      <c r="K226" s="2" t="s">
        <v>24</v>
      </c>
      <c r="L226" s="2">
        <f>IFERROR(IF('RAW DATA'!L226="",3,'RAW DATA'!L226),3)</f>
        <v>4</v>
      </c>
      <c r="M226" s="2" t="s">
        <v>25</v>
      </c>
      <c r="N226" s="2" t="s">
        <v>26</v>
      </c>
      <c r="O226" s="2">
        <v>0</v>
      </c>
      <c r="P226" s="2" t="s">
        <v>27</v>
      </c>
      <c r="Q226" s="9" t="s">
        <v>53</v>
      </c>
      <c r="R226" s="3" t="str">
        <f>IFERROR(TEXT('RAW DATA'!B226,"MMMM"),"UKNNOWN")</f>
        <v>March</v>
      </c>
      <c r="S226" s="5">
        <f>IFERROR(MONTH('RAW DATA'!B226),0)</f>
        <v>3</v>
      </c>
      <c r="T226" s="2" t="str">
        <f t="shared" si="6"/>
        <v>Q1</v>
      </c>
      <c r="U226" s="2" t="str">
        <f>IF('RAW DATA'!I226&gt;20,"High",IF('RAW DATA'!I226&gt;10,"Medium","Low"))</f>
        <v>Medium</v>
      </c>
      <c r="V226" s="2" t="str">
        <f>IF('RAW DATA'!B226="","Yes","No")</f>
        <v>No</v>
      </c>
      <c r="W226" s="2" t="str">
        <f>IF(COUNTIF(A$2:A525,A226)&gt;1,"Duplicate","OK")</f>
        <v>OK</v>
      </c>
      <c r="X226">
        <f t="shared" si="7"/>
        <v>4</v>
      </c>
    </row>
    <row r="227" spans="1:24" x14ac:dyDescent="0.25">
      <c r="A227" s="3" t="s">
        <v>462</v>
      </c>
      <c r="B227" s="3" t="s">
        <v>301</v>
      </c>
      <c r="C227" s="3" t="s">
        <v>39</v>
      </c>
      <c r="D227" s="2" t="str">
        <f>PROPER('RAW DATA'!D227)</f>
        <v>Grace Uwase</v>
      </c>
      <c r="E227" s="3" t="s">
        <v>41</v>
      </c>
      <c r="F227" s="3" t="s">
        <v>42</v>
      </c>
      <c r="G227" s="3" t="s">
        <v>22</v>
      </c>
      <c r="H227" s="3" t="s">
        <v>80</v>
      </c>
      <c r="I227" s="5">
        <f>IFERROR(IF('RAW DATA'!I227="",AVERAGE('RAW DATA'!I$2:I$301),'RAW DATA'!I227),0)</f>
        <v>10.8</v>
      </c>
      <c r="J227" s="3">
        <v>6.1</v>
      </c>
      <c r="K227" s="3" t="s">
        <v>26</v>
      </c>
      <c r="L227" s="2">
        <f>IFERROR(IF('RAW DATA'!L227="",3,'RAW DATA'!L227),3)</f>
        <v>2</v>
      </c>
      <c r="M227" s="3" t="s">
        <v>25</v>
      </c>
      <c r="N227" s="3" t="s">
        <v>24</v>
      </c>
      <c r="O227" s="3">
        <v>1</v>
      </c>
      <c r="P227" s="3" t="s">
        <v>27</v>
      </c>
      <c r="Q227" s="10" t="s">
        <v>46</v>
      </c>
      <c r="R227" s="2" t="str">
        <f>IFERROR(TEXT('RAW DATA'!B227,"MMMM"),"UKNNOWN")</f>
        <v>January</v>
      </c>
      <c r="S227" s="5">
        <f>IFERROR(MONTH('RAW DATA'!B227),0)</f>
        <v>1</v>
      </c>
      <c r="T227" s="3" t="str">
        <f t="shared" si="6"/>
        <v>Q1</v>
      </c>
      <c r="U227" s="3" t="str">
        <f>IF('RAW DATA'!I227&gt;20,"High",IF('RAW DATA'!I227&gt;10,"Medium","Low"))</f>
        <v>Medium</v>
      </c>
      <c r="V227" s="3" t="str">
        <f>IF('RAW DATA'!B227="","Yes","No")</f>
        <v>No</v>
      </c>
      <c r="W227" s="2" t="str">
        <f>IF(COUNTIF(A$2:A526,A227)&gt;1,"Duplicate","OK")</f>
        <v>OK</v>
      </c>
      <c r="X227">
        <f t="shared" si="7"/>
        <v>2</v>
      </c>
    </row>
    <row r="228" spans="1:24" x14ac:dyDescent="0.25">
      <c r="A228" s="2" t="s">
        <v>463</v>
      </c>
      <c r="B228" s="2" t="s">
        <v>464</v>
      </c>
      <c r="C228" s="2" t="s">
        <v>56</v>
      </c>
      <c r="D228" s="2" t="str">
        <f>PROPER('RAW DATA'!D228)</f>
        <v>John Gasana</v>
      </c>
      <c r="E228" s="2" t="s">
        <v>41</v>
      </c>
      <c r="F228" s="2" t="s">
        <v>42</v>
      </c>
      <c r="G228" s="2" t="s">
        <v>43</v>
      </c>
      <c r="H228" s="2" t="s">
        <v>35</v>
      </c>
      <c r="I228" s="5">
        <f>IFERROR(IF('RAW DATA'!I228="",AVERAGE('RAW DATA'!I$2:I$301),'RAW DATA'!I228),0)</f>
        <v>11.8</v>
      </c>
      <c r="J228" s="2">
        <v>2.5</v>
      </c>
      <c r="K228" s="2" t="s">
        <v>26</v>
      </c>
      <c r="L228" s="2">
        <f>IFERROR(IF('RAW DATA'!L228="",3,'RAW DATA'!L228),3)</f>
        <v>1</v>
      </c>
      <c r="M228" s="2" t="s">
        <v>51</v>
      </c>
      <c r="N228" s="2" t="s">
        <v>26</v>
      </c>
      <c r="O228" s="2">
        <v>1</v>
      </c>
      <c r="P228" s="2" t="s">
        <v>45</v>
      </c>
      <c r="Q228" s="9" t="s">
        <v>60</v>
      </c>
      <c r="R228" s="3" t="str">
        <f>IFERROR(TEXT('RAW DATA'!B228,"MMMM"),"UKNNOWN")</f>
        <v>November</v>
      </c>
      <c r="S228" s="5">
        <f>IFERROR(MONTH('RAW DATA'!B228),0)</f>
        <v>11</v>
      </c>
      <c r="T228" s="2" t="str">
        <f t="shared" si="6"/>
        <v>Q4</v>
      </c>
      <c r="U228" s="2" t="str">
        <f>IF('RAW DATA'!I228&gt;20,"High",IF('RAW DATA'!I228&gt;10,"Medium","Low"))</f>
        <v>Medium</v>
      </c>
      <c r="V228" s="2" t="str">
        <f>IF('RAW DATA'!B228="","Yes","No")</f>
        <v>No</v>
      </c>
      <c r="W228" s="2" t="str">
        <f>IF(COUNTIF(A$2:A527,A228)&gt;1,"Duplicate","OK")</f>
        <v>OK</v>
      </c>
      <c r="X228">
        <f t="shared" si="7"/>
        <v>1</v>
      </c>
    </row>
    <row r="229" spans="1:24" x14ac:dyDescent="0.25">
      <c r="A229" s="3" t="s">
        <v>465</v>
      </c>
      <c r="B229" s="3" t="s">
        <v>366</v>
      </c>
      <c r="C229" s="3" t="s">
        <v>105</v>
      </c>
      <c r="D229" s="2" t="str">
        <f>PROPER('RAW DATA'!D229)</f>
        <v>Alice Uwimana</v>
      </c>
      <c r="E229" s="3" t="s">
        <v>20</v>
      </c>
      <c r="F229" s="3" t="s">
        <v>21</v>
      </c>
      <c r="G229" s="3" t="s">
        <v>43</v>
      </c>
      <c r="H229" s="3" t="s">
        <v>65</v>
      </c>
      <c r="I229" s="5">
        <f>IFERROR(IF('RAW DATA'!I229="",AVERAGE('RAW DATA'!I$2:I$301),'RAW DATA'!I229),0)</f>
        <v>3.4</v>
      </c>
      <c r="J229" s="3">
        <v>4</v>
      </c>
      <c r="K229" s="3" t="s">
        <v>24</v>
      </c>
      <c r="L229" s="2">
        <f>IFERROR(IF('RAW DATA'!L229="",3,'RAW DATA'!L229),3)</f>
        <v>4</v>
      </c>
      <c r="M229" s="3" t="s">
        <v>81</v>
      </c>
      <c r="N229" s="3" t="s">
        <v>26</v>
      </c>
      <c r="O229" s="3">
        <v>0</v>
      </c>
      <c r="P229" s="3" t="s">
        <v>45</v>
      </c>
      <c r="Q229" s="10" t="s">
        <v>107</v>
      </c>
      <c r="R229" s="2" t="str">
        <f>IFERROR(TEXT('RAW DATA'!B229,"MMMM"),"UKNNOWN")</f>
        <v>May</v>
      </c>
      <c r="S229" s="5">
        <f>IFERROR(MONTH('RAW DATA'!B229),0)</f>
        <v>5</v>
      </c>
      <c r="T229" s="3" t="str">
        <f t="shared" si="6"/>
        <v>Q2</v>
      </c>
      <c r="U229" s="3" t="str">
        <f>IF('RAW DATA'!I229&gt;20,"High",IF('RAW DATA'!I229&gt;10,"Medium","Low"))</f>
        <v>Low</v>
      </c>
      <c r="V229" s="3" t="str">
        <f>IF('RAW DATA'!B229="","Yes","No")</f>
        <v>No</v>
      </c>
      <c r="W229" s="2" t="str">
        <f>IF(COUNTIF(A$2:A528,A229)&gt;1,"Duplicate","OK")</f>
        <v>OK</v>
      </c>
      <c r="X229">
        <f t="shared" si="7"/>
        <v>4</v>
      </c>
    </row>
    <row r="230" spans="1:24" x14ac:dyDescent="0.25">
      <c r="A230" s="2" t="s">
        <v>466</v>
      </c>
      <c r="B230" s="2" t="s">
        <v>467</v>
      </c>
      <c r="C230" s="2" t="s">
        <v>56</v>
      </c>
      <c r="D230" s="2" t="str">
        <f>PROPER('RAW DATA'!D230)</f>
        <v>John Gasana</v>
      </c>
      <c r="E230" s="2" t="s">
        <v>41</v>
      </c>
      <c r="F230" s="2" t="s">
        <v>42</v>
      </c>
      <c r="G230" s="2" t="s">
        <v>41</v>
      </c>
      <c r="H230" s="2" t="s">
        <v>72</v>
      </c>
      <c r="I230" s="5">
        <f>IFERROR(IF('RAW DATA'!I230="",AVERAGE('RAW DATA'!I$2:I$301),'RAW DATA'!I230),0)</f>
        <v>2.6</v>
      </c>
      <c r="J230" s="2">
        <v>3.4</v>
      </c>
      <c r="K230" s="2" t="s">
        <v>26</v>
      </c>
      <c r="L230" s="2">
        <f>IFERROR(IF('RAW DATA'!L230="",3,'RAW DATA'!L230),3)</f>
        <v>3</v>
      </c>
      <c r="M230" s="2" t="s">
        <v>81</v>
      </c>
      <c r="N230" s="2" t="s">
        <v>24</v>
      </c>
      <c r="O230" s="2">
        <v>3</v>
      </c>
      <c r="P230" s="2" t="s">
        <v>52</v>
      </c>
      <c r="Q230" s="9" t="s">
        <v>60</v>
      </c>
      <c r="R230" s="3" t="str">
        <f>IFERROR(TEXT('RAW DATA'!B230,"MMMM"),"UKNNOWN")</f>
        <v>April</v>
      </c>
      <c r="S230" s="5">
        <f>IFERROR(MONTH('RAW DATA'!B230),0)</f>
        <v>4</v>
      </c>
      <c r="T230" s="2" t="str">
        <f t="shared" si="6"/>
        <v>Q2</v>
      </c>
      <c r="U230" s="2" t="str">
        <f>IF('RAW DATA'!I230&gt;20,"High",IF('RAW DATA'!I230&gt;10,"Medium","Low"))</f>
        <v>Low</v>
      </c>
      <c r="V230" s="2" t="str">
        <f>IF('RAW DATA'!B230="","Yes","No")</f>
        <v>No</v>
      </c>
      <c r="W230" s="2" t="str">
        <f>IF(COUNTIF(A$2:A529,A230)&gt;1,"Duplicate","OK")</f>
        <v>OK</v>
      </c>
      <c r="X230">
        <f t="shared" si="7"/>
        <v>3</v>
      </c>
    </row>
    <row r="231" spans="1:24" x14ac:dyDescent="0.25">
      <c r="A231" s="3" t="s">
        <v>468</v>
      </c>
      <c r="B231" s="3" t="s">
        <v>252</v>
      </c>
      <c r="C231" s="3" t="s">
        <v>18</v>
      </c>
      <c r="D231" s="2" t="str">
        <f>PROPER('RAW DATA'!D231)</f>
        <v>Bob Nshimiyimana</v>
      </c>
      <c r="E231" s="3" t="s">
        <v>20</v>
      </c>
      <c r="F231" s="3" t="s">
        <v>21</v>
      </c>
      <c r="G231" s="3" t="s">
        <v>22</v>
      </c>
      <c r="H231" s="3" t="s">
        <v>44</v>
      </c>
      <c r="I231" s="5">
        <f>IFERROR(IF('RAW DATA'!I231="",AVERAGE('RAW DATA'!I$2:I$301),'RAW DATA'!I231),0)</f>
        <v>4.5999999999999996</v>
      </c>
      <c r="J231" s="3">
        <v>0.7</v>
      </c>
      <c r="K231" s="3" t="s">
        <v>24</v>
      </c>
      <c r="L231" s="2">
        <f>IFERROR(IF('RAW DATA'!L231="",3,'RAW DATA'!L231),3)</f>
        <v>5</v>
      </c>
      <c r="M231" s="3" t="s">
        <v>51</v>
      </c>
      <c r="N231" s="3" t="s">
        <v>26</v>
      </c>
      <c r="O231" s="3">
        <v>0</v>
      </c>
      <c r="P231" s="3" t="s">
        <v>52</v>
      </c>
      <c r="Q231" s="10" t="s">
        <v>28</v>
      </c>
      <c r="R231" s="2" t="str">
        <f>IFERROR(TEXT('RAW DATA'!B231,"MMMM"),"UKNNOWN")</f>
        <v>June</v>
      </c>
      <c r="S231" s="5">
        <f>IFERROR(MONTH('RAW DATA'!B231),0)</f>
        <v>6</v>
      </c>
      <c r="T231" s="3" t="str">
        <f t="shared" si="6"/>
        <v>Q2</v>
      </c>
      <c r="U231" s="3" t="str">
        <f>IF('RAW DATA'!I231&gt;20,"High",IF('RAW DATA'!I231&gt;10,"Medium","Low"))</f>
        <v>Low</v>
      </c>
      <c r="V231" s="3" t="str">
        <f>IF('RAW DATA'!B231="","Yes","No")</f>
        <v>No</v>
      </c>
      <c r="W231" s="2" t="str">
        <f>IF(COUNTIF(A$2:A530,A231)&gt;1,"Duplicate","OK")</f>
        <v>OK</v>
      </c>
      <c r="X231">
        <f t="shared" si="7"/>
        <v>5</v>
      </c>
    </row>
    <row r="232" spans="1:24" x14ac:dyDescent="0.25">
      <c r="A232" s="2" t="s">
        <v>469</v>
      </c>
      <c r="B232" s="2" t="s">
        <v>470</v>
      </c>
      <c r="C232" s="2" t="s">
        <v>105</v>
      </c>
      <c r="D232" s="2" t="str">
        <f>PROPER('RAW DATA'!D232)</f>
        <v>Alice Uwimana</v>
      </c>
      <c r="E232" s="2" t="s">
        <v>20</v>
      </c>
      <c r="F232" s="2" t="s">
        <v>21</v>
      </c>
      <c r="G232" s="2" t="s">
        <v>43</v>
      </c>
      <c r="H232" s="2" t="s">
        <v>23</v>
      </c>
      <c r="I232" s="5">
        <f>IFERROR(IF('RAW DATA'!I232="",AVERAGE('RAW DATA'!I$2:I$301),'RAW DATA'!I232),0)</f>
        <v>4.9000000000000004</v>
      </c>
      <c r="J232" s="2">
        <v>1.6</v>
      </c>
      <c r="K232" s="2" t="s">
        <v>26</v>
      </c>
      <c r="L232" s="2">
        <f>IFERROR(IF('RAW DATA'!L232="",3,'RAW DATA'!L232),3)</f>
        <v>2</v>
      </c>
      <c r="M232" s="2" t="s">
        <v>81</v>
      </c>
      <c r="N232" s="2" t="s">
        <v>26</v>
      </c>
      <c r="O232" s="2">
        <v>1</v>
      </c>
      <c r="P232" s="2" t="s">
        <v>27</v>
      </c>
      <c r="Q232" s="9" t="s">
        <v>107</v>
      </c>
      <c r="R232" s="3" t="str">
        <f>IFERROR(TEXT('RAW DATA'!B232,"MMMM"),"UKNNOWN")</f>
        <v>August</v>
      </c>
      <c r="S232" s="5">
        <f>IFERROR(MONTH('RAW DATA'!B232),0)</f>
        <v>8</v>
      </c>
      <c r="T232" s="2" t="str">
        <f t="shared" si="6"/>
        <v>Q3</v>
      </c>
      <c r="U232" s="2" t="str">
        <f>IF('RAW DATA'!I232&gt;20,"High",IF('RAW DATA'!I232&gt;10,"Medium","Low"))</f>
        <v>Low</v>
      </c>
      <c r="V232" s="2" t="str">
        <f>IF('RAW DATA'!B232="","Yes","No")</f>
        <v>No</v>
      </c>
      <c r="W232" s="2" t="str">
        <f>IF(COUNTIF(A$2:A531,A232)&gt;1,"Duplicate","OK")</f>
        <v>OK</v>
      </c>
      <c r="X232">
        <f t="shared" si="7"/>
        <v>2</v>
      </c>
    </row>
    <row r="233" spans="1:24" x14ac:dyDescent="0.25">
      <c r="A233" s="3" t="s">
        <v>471</v>
      </c>
      <c r="B233" s="3" t="s">
        <v>472</v>
      </c>
      <c r="C233" s="3" t="s">
        <v>56</v>
      </c>
      <c r="D233" s="2" t="str">
        <f>PROPER('RAW DATA'!D233)</f>
        <v>John Gasana</v>
      </c>
      <c r="E233" s="3" t="s">
        <v>41</v>
      </c>
      <c r="F233" s="3" t="s">
        <v>42</v>
      </c>
      <c r="G233" s="3" t="s">
        <v>43</v>
      </c>
      <c r="H233" s="3" t="s">
        <v>23</v>
      </c>
      <c r="I233" s="5">
        <f>IFERROR(IF('RAW DATA'!I233="",AVERAGE('RAW DATA'!I$2:I$301),'RAW DATA'!I233),0)</f>
        <v>7.1</v>
      </c>
      <c r="J233" s="3">
        <v>4.0999999999999996</v>
      </c>
      <c r="K233" s="3" t="s">
        <v>26</v>
      </c>
      <c r="L233" s="2">
        <f>IFERROR(IF('RAW DATA'!L233="",3,'RAW DATA'!L233),3)</f>
        <v>2</v>
      </c>
      <c r="M233" s="3" t="s">
        <v>81</v>
      </c>
      <c r="N233" s="3" t="s">
        <v>26</v>
      </c>
      <c r="O233" s="3">
        <v>0</v>
      </c>
      <c r="P233" s="3" t="s">
        <v>13</v>
      </c>
      <c r="Q233" s="10" t="s">
        <v>60</v>
      </c>
      <c r="R233" s="2" t="str">
        <f>IFERROR(TEXT('RAW DATA'!B233,"MMMM"),"UKNNOWN")</f>
        <v>April</v>
      </c>
      <c r="S233" s="5">
        <f>IFERROR(MONTH('RAW DATA'!B233),0)</f>
        <v>4</v>
      </c>
      <c r="T233" s="3" t="str">
        <f t="shared" si="6"/>
        <v>Q2</v>
      </c>
      <c r="U233" s="3" t="str">
        <f>IF('RAW DATA'!I233&gt;20,"High",IF('RAW DATA'!I233&gt;10,"Medium","Low"))</f>
        <v>Low</v>
      </c>
      <c r="V233" s="3" t="str">
        <f>IF('RAW DATA'!B233="","Yes","No")</f>
        <v>No</v>
      </c>
      <c r="W233" s="2" t="str">
        <f>IF(COUNTIF(A$2:A532,A233)&gt;1,"Duplicate","OK")</f>
        <v>OK</v>
      </c>
      <c r="X233">
        <f t="shared" si="7"/>
        <v>2</v>
      </c>
    </row>
    <row r="234" spans="1:24" x14ac:dyDescent="0.25">
      <c r="A234" s="2" t="s">
        <v>473</v>
      </c>
      <c r="B234" s="2" t="s">
        <v>220</v>
      </c>
      <c r="C234" s="2" t="s">
        <v>70</v>
      </c>
      <c r="D234" s="2" t="str">
        <f>PROPER('RAW DATA'!D234)</f>
        <v>Claire Mukamana</v>
      </c>
      <c r="E234" s="2" t="s">
        <v>33</v>
      </c>
      <c r="F234" s="2" t="s">
        <v>34</v>
      </c>
      <c r="G234" s="2" t="s">
        <v>43</v>
      </c>
      <c r="H234" s="2" t="s">
        <v>72</v>
      </c>
      <c r="I234" s="5">
        <f>IFERROR(IF('RAW DATA'!I234="",AVERAGE('RAW DATA'!I$2:I$301),'RAW DATA'!I234),0)</f>
        <v>8.1</v>
      </c>
      <c r="J234" s="2">
        <v>0.8</v>
      </c>
      <c r="K234" s="2" t="s">
        <v>24</v>
      </c>
      <c r="L234" s="2">
        <f>IFERROR(IF('RAW DATA'!L234="",3,'RAW DATA'!L234),3)</f>
        <v>4</v>
      </c>
      <c r="M234" s="2" t="s">
        <v>51</v>
      </c>
      <c r="N234" s="2" t="s">
        <v>26</v>
      </c>
      <c r="O234" s="2">
        <v>0</v>
      </c>
      <c r="P234" s="2" t="s">
        <v>66</v>
      </c>
      <c r="Q234" s="9" t="s">
        <v>73</v>
      </c>
      <c r="R234" s="3" t="str">
        <f>IFERROR(TEXT('RAW DATA'!B234,"MMMM"),"UKNNOWN")</f>
        <v>October</v>
      </c>
      <c r="S234" s="5">
        <f>IFERROR(MONTH('RAW DATA'!B234),0)</f>
        <v>10</v>
      </c>
      <c r="T234" s="2" t="str">
        <f t="shared" si="6"/>
        <v>Q4</v>
      </c>
      <c r="U234" s="2" t="str">
        <f>IF('RAW DATA'!I234&gt;20,"High",IF('RAW DATA'!I234&gt;10,"Medium","Low"))</f>
        <v>Low</v>
      </c>
      <c r="V234" s="2" t="str">
        <f>IF('RAW DATA'!B234="","Yes","No")</f>
        <v>No</v>
      </c>
      <c r="W234" s="2" t="str">
        <f>IF(COUNTIF(A$2:A533,A234)&gt;1,"Duplicate","OK")</f>
        <v>OK</v>
      </c>
      <c r="X234">
        <f t="shared" si="7"/>
        <v>4</v>
      </c>
    </row>
    <row r="235" spans="1:24" x14ac:dyDescent="0.25">
      <c r="A235" s="3" t="s">
        <v>474</v>
      </c>
      <c r="B235" s="3" t="s">
        <v>475</v>
      </c>
      <c r="C235" s="3" t="s">
        <v>85</v>
      </c>
      <c r="D235" s="2" t="str">
        <f>PROPER('RAW DATA'!D235)</f>
        <v>Irene Mutesi</v>
      </c>
      <c r="E235" s="3" t="s">
        <v>20</v>
      </c>
      <c r="F235" s="3" t="s">
        <v>21</v>
      </c>
      <c r="G235" s="3" t="s">
        <v>43</v>
      </c>
      <c r="H235" s="3" t="s">
        <v>44</v>
      </c>
      <c r="I235" s="5">
        <f>IFERROR(IF('RAW DATA'!I235="",AVERAGE('RAW DATA'!I$2:I$301),'RAW DATA'!I235),0)</f>
        <v>5.5</v>
      </c>
      <c r="J235" s="3">
        <v>6.9</v>
      </c>
      <c r="K235" s="3" t="s">
        <v>24</v>
      </c>
      <c r="L235" s="2">
        <f>IFERROR(IF('RAW DATA'!L235="",3,'RAW DATA'!L235),3)</f>
        <v>3</v>
      </c>
      <c r="M235" s="3" t="s">
        <v>81</v>
      </c>
      <c r="N235" s="3" t="s">
        <v>26</v>
      </c>
      <c r="O235" s="3">
        <v>1</v>
      </c>
      <c r="P235" s="3" t="s">
        <v>45</v>
      </c>
      <c r="Q235" s="10" t="s">
        <v>87</v>
      </c>
      <c r="R235" s="2" t="str">
        <f>IFERROR(TEXT('RAW DATA'!B235,"MMMM"),"UKNNOWN")</f>
        <v>July</v>
      </c>
      <c r="S235" s="5">
        <f>IFERROR(MONTH('RAW DATA'!B235),0)</f>
        <v>7</v>
      </c>
      <c r="T235" s="3" t="str">
        <f t="shared" si="6"/>
        <v>Q3</v>
      </c>
      <c r="U235" s="3" t="str">
        <f>IF('RAW DATA'!I235&gt;20,"High",IF('RAW DATA'!I235&gt;10,"Medium","Low"))</f>
        <v>Low</v>
      </c>
      <c r="V235" s="3" t="str">
        <f>IF('RAW DATA'!B235="","Yes","No")</f>
        <v>No</v>
      </c>
      <c r="W235" s="2" t="str">
        <f>IF(COUNTIF(A$2:A534,A235)&gt;1,"Duplicate","OK")</f>
        <v>OK</v>
      </c>
      <c r="X235">
        <f t="shared" si="7"/>
        <v>3</v>
      </c>
    </row>
    <row r="236" spans="1:24" x14ac:dyDescent="0.25">
      <c r="A236" s="2" t="s">
        <v>476</v>
      </c>
      <c r="B236" s="2" t="s">
        <v>359</v>
      </c>
      <c r="C236" s="2" t="s">
        <v>49</v>
      </c>
      <c r="D236" s="2" t="str">
        <f>PROPER('RAW DATA'!D236)</f>
        <v>Frank Nzeyimana</v>
      </c>
      <c r="E236" s="2" t="s">
        <v>41</v>
      </c>
      <c r="F236" s="2" t="s">
        <v>42</v>
      </c>
      <c r="G236" s="2" t="s">
        <v>43</v>
      </c>
      <c r="H236" s="2" t="s">
        <v>95</v>
      </c>
      <c r="I236" s="5">
        <f>IFERROR(IF('RAW DATA'!I236="",AVERAGE('RAW DATA'!I$2:I$301),'RAW DATA'!I236),0)</f>
        <v>4.7</v>
      </c>
      <c r="J236" s="2">
        <v>2.2999999999999998</v>
      </c>
      <c r="K236" s="2" t="s">
        <v>24</v>
      </c>
      <c r="L236" s="2">
        <f>IFERROR(IF('RAW DATA'!L236="",3,'RAW DATA'!L236),3)</f>
        <v>4</v>
      </c>
      <c r="M236" s="2" t="s">
        <v>59</v>
      </c>
      <c r="N236" s="2" t="s">
        <v>26</v>
      </c>
      <c r="O236" s="2">
        <v>1</v>
      </c>
      <c r="P236" s="2" t="s">
        <v>45</v>
      </c>
      <c r="Q236" s="9" t="s">
        <v>53</v>
      </c>
      <c r="R236" s="3" t="str">
        <f>IFERROR(TEXT('RAW DATA'!B236,"MMMM"),"UKNNOWN")</f>
        <v>February</v>
      </c>
      <c r="S236" s="5">
        <f>IFERROR(MONTH('RAW DATA'!B236),0)</f>
        <v>2</v>
      </c>
      <c r="T236" s="2" t="str">
        <f t="shared" si="6"/>
        <v>Q1</v>
      </c>
      <c r="U236" s="2" t="str">
        <f>IF('RAW DATA'!I236&gt;20,"High",IF('RAW DATA'!I236&gt;10,"Medium","Low"))</f>
        <v>Low</v>
      </c>
      <c r="V236" s="2" t="str">
        <f>IF('RAW DATA'!B236="","Yes","No")</f>
        <v>No</v>
      </c>
      <c r="W236" s="2" t="str">
        <f>IF(COUNTIF(A$2:A535,A236)&gt;1,"Duplicate","OK")</f>
        <v>OK</v>
      </c>
      <c r="X236">
        <f t="shared" si="7"/>
        <v>4</v>
      </c>
    </row>
    <row r="237" spans="1:24" x14ac:dyDescent="0.25">
      <c r="A237" s="3" t="s">
        <v>477</v>
      </c>
      <c r="B237" s="3" t="s">
        <v>478</v>
      </c>
      <c r="C237" s="3" t="s">
        <v>49</v>
      </c>
      <c r="D237" s="2" t="str">
        <f>PROPER('RAW DATA'!D237)</f>
        <v>Frank Nzeyimana</v>
      </c>
      <c r="E237" s="3" t="s">
        <v>41</v>
      </c>
      <c r="F237" s="3" t="s">
        <v>42</v>
      </c>
      <c r="G237" s="3" t="s">
        <v>43</v>
      </c>
      <c r="H237" s="3" t="s">
        <v>58</v>
      </c>
      <c r="I237" s="5">
        <f>IFERROR(IF('RAW DATA'!I237="",AVERAGE('RAW DATA'!I$2:I$301),'RAW DATA'!I237),0)</f>
        <v>5.2</v>
      </c>
      <c r="J237" s="3">
        <v>3.4</v>
      </c>
      <c r="K237" s="3" t="s">
        <v>26</v>
      </c>
      <c r="L237" s="2">
        <f>IFERROR(IF('RAW DATA'!L237="",3,'RAW DATA'!L237),3)</f>
        <v>3</v>
      </c>
      <c r="M237" s="3" t="s">
        <v>90</v>
      </c>
      <c r="N237" s="3" t="s">
        <v>24</v>
      </c>
      <c r="O237" s="3">
        <v>2</v>
      </c>
      <c r="P237" s="3" t="s">
        <v>13</v>
      </c>
      <c r="Q237" s="10" t="s">
        <v>53</v>
      </c>
      <c r="R237" s="2" t="str">
        <f>IFERROR(TEXT('RAW DATA'!B237,"MMMM"),"UKNNOWN")</f>
        <v>April</v>
      </c>
      <c r="S237" s="5">
        <f>IFERROR(MONTH('RAW DATA'!B237),0)</f>
        <v>4</v>
      </c>
      <c r="T237" s="3" t="str">
        <f t="shared" si="6"/>
        <v>Q2</v>
      </c>
      <c r="U237" s="3" t="str">
        <f>IF('RAW DATA'!I237&gt;20,"High",IF('RAW DATA'!I237&gt;10,"Medium","Low"))</f>
        <v>Low</v>
      </c>
      <c r="V237" s="3" t="str">
        <f>IF('RAW DATA'!B237="","Yes","No")</f>
        <v>No</v>
      </c>
      <c r="W237" s="2" t="str">
        <f>IF(COUNTIF(A$2:A536,A237)&gt;1,"Duplicate","OK")</f>
        <v>OK</v>
      </c>
      <c r="X237">
        <f t="shared" si="7"/>
        <v>3</v>
      </c>
    </row>
    <row r="238" spans="1:24" x14ac:dyDescent="0.25">
      <c r="A238" s="2" t="s">
        <v>479</v>
      </c>
      <c r="B238" s="2" t="s">
        <v>480</v>
      </c>
      <c r="C238" s="2" t="s">
        <v>39</v>
      </c>
      <c r="D238" s="2" t="str">
        <f>PROPER('RAW DATA'!D238)</f>
        <v>Grace Uwase</v>
      </c>
      <c r="E238" s="2" t="s">
        <v>41</v>
      </c>
      <c r="F238" s="2" t="s">
        <v>42</v>
      </c>
      <c r="G238" s="2" t="s">
        <v>43</v>
      </c>
      <c r="H238" s="2" t="s">
        <v>58</v>
      </c>
      <c r="I238" s="5">
        <f>IFERROR(IF('RAW DATA'!I238="",AVERAGE('RAW DATA'!I$2:I$301),'RAW DATA'!I238),0)</f>
        <v>7</v>
      </c>
      <c r="J238" s="2">
        <v>1.2</v>
      </c>
      <c r="K238" s="2" t="s">
        <v>24</v>
      </c>
      <c r="L238" s="2">
        <f>IFERROR(IF('RAW DATA'!L238="",3,'RAW DATA'!L238),3)</f>
        <v>5</v>
      </c>
      <c r="M238" s="2" t="s">
        <v>25</v>
      </c>
      <c r="N238" s="2" t="s">
        <v>26</v>
      </c>
      <c r="O238" s="2">
        <v>1</v>
      </c>
      <c r="P238" s="2" t="s">
        <v>66</v>
      </c>
      <c r="Q238" s="9" t="s">
        <v>46</v>
      </c>
      <c r="R238" s="3" t="str">
        <f>IFERROR(TEXT('RAW DATA'!B238,"MMMM"),"UKNNOWN")</f>
        <v>March</v>
      </c>
      <c r="S238" s="5">
        <f>IFERROR(MONTH('RAW DATA'!B238),0)</f>
        <v>3</v>
      </c>
      <c r="T238" s="2" t="str">
        <f t="shared" si="6"/>
        <v>Q1</v>
      </c>
      <c r="U238" s="2" t="str">
        <f>IF('RAW DATA'!I238&gt;20,"High",IF('RAW DATA'!I238&gt;10,"Medium","Low"))</f>
        <v>Low</v>
      </c>
      <c r="V238" s="2" t="str">
        <f>IF('RAW DATA'!B238="","Yes","No")</f>
        <v>No</v>
      </c>
      <c r="W238" s="2" t="str">
        <f>IF(COUNTIF(A$2:A537,A238)&gt;1,"Duplicate","OK")</f>
        <v>OK</v>
      </c>
      <c r="X238">
        <f t="shared" si="7"/>
        <v>5</v>
      </c>
    </row>
    <row r="239" spans="1:24" x14ac:dyDescent="0.25">
      <c r="A239" s="3" t="s">
        <v>481</v>
      </c>
      <c r="B239" s="3" t="s">
        <v>482</v>
      </c>
      <c r="C239" s="3" t="s">
        <v>63</v>
      </c>
      <c r="D239" s="2" t="str">
        <f>PROPER('RAW DATA'!D239)</f>
        <v>Henry Bizimana</v>
      </c>
      <c r="E239" s="3" t="s">
        <v>33</v>
      </c>
      <c r="F239" s="3" t="s">
        <v>34</v>
      </c>
      <c r="G239" s="3" t="s">
        <v>41</v>
      </c>
      <c r="H239" s="3" t="s">
        <v>44</v>
      </c>
      <c r="I239" s="5">
        <f>IFERROR(IF('RAW DATA'!I239="",AVERAGE('RAW DATA'!I$2:I$301),'RAW DATA'!I239),0)</f>
        <v>6.5</v>
      </c>
      <c r="J239" s="3">
        <v>5.2</v>
      </c>
      <c r="K239" s="3" t="s">
        <v>24</v>
      </c>
      <c r="L239" s="2">
        <f>IFERROR(IF('RAW DATA'!L239="",3,'RAW DATA'!L239),3)</f>
        <v>3</v>
      </c>
      <c r="M239" s="3" t="s">
        <v>25</v>
      </c>
      <c r="N239" s="3" t="s">
        <v>26</v>
      </c>
      <c r="O239" s="3">
        <v>1</v>
      </c>
      <c r="P239" s="3" t="s">
        <v>52</v>
      </c>
      <c r="Q239" s="10" t="s">
        <v>67</v>
      </c>
      <c r="R239" s="3" t="str">
        <f>IFERROR(TEXT('RAW DATA'!B239,"MMMM"),"UKNNOWN")</f>
        <v>June</v>
      </c>
      <c r="S239" s="5">
        <f>IFERROR(MONTH('RAW DATA'!B239),0)</f>
        <v>6</v>
      </c>
      <c r="T239" s="3" t="str">
        <f t="shared" si="6"/>
        <v>Q2</v>
      </c>
      <c r="U239" s="3" t="str">
        <f>IF('RAW DATA'!I239&gt;20,"High",IF('RAW DATA'!I239&gt;10,"Medium","Low"))</f>
        <v>Low</v>
      </c>
      <c r="V239" s="3" t="str">
        <f>IF('RAW DATA'!B239="","Yes","No")</f>
        <v>No</v>
      </c>
      <c r="W239" s="2" t="str">
        <f>IF(COUNTIF(A$2:A538,A239)&gt;1,"Duplicate","OK")</f>
        <v>OK</v>
      </c>
      <c r="X239">
        <f t="shared" si="7"/>
        <v>3</v>
      </c>
    </row>
    <row r="240" spans="1:24" x14ac:dyDescent="0.25">
      <c r="A240" s="2" t="s">
        <v>483</v>
      </c>
      <c r="B240" s="2" t="s">
        <v>364</v>
      </c>
      <c r="C240" s="2" t="s">
        <v>18</v>
      </c>
      <c r="D240" s="2" t="str">
        <f>PROPER('RAW DATA'!D240)</f>
        <v>Bob Nshimiyimana</v>
      </c>
      <c r="E240" s="2" t="s">
        <v>20</v>
      </c>
      <c r="F240" s="2" t="s">
        <v>21</v>
      </c>
      <c r="G240" s="2" t="s">
        <v>43</v>
      </c>
      <c r="H240" s="2" t="s">
        <v>35</v>
      </c>
      <c r="I240" s="5">
        <f>IFERROR(IF('RAW DATA'!I240="",AVERAGE('RAW DATA'!I$2:I$301),'RAW DATA'!I240),0)</f>
        <v>7.2</v>
      </c>
      <c r="J240" s="2">
        <v>4.7</v>
      </c>
      <c r="K240" s="2" t="s">
        <v>24</v>
      </c>
      <c r="L240" s="2">
        <f>IFERROR(IF('RAW DATA'!L240="",3,'RAW DATA'!L240),3)</f>
        <v>4</v>
      </c>
      <c r="M240" s="2" t="s">
        <v>59</v>
      </c>
      <c r="N240" s="2" t="s">
        <v>26</v>
      </c>
      <c r="O240" s="2">
        <v>1</v>
      </c>
      <c r="P240" s="2" t="s">
        <v>52</v>
      </c>
      <c r="Q240" s="9" t="s">
        <v>28</v>
      </c>
      <c r="R240" s="2" t="str">
        <f>IFERROR(TEXT('RAW DATA'!B240,"MMMM"),"UKNNOWN")</f>
        <v>January</v>
      </c>
      <c r="S240" s="5">
        <f>IFERROR(MONTH('RAW DATA'!B240),0)</f>
        <v>1</v>
      </c>
      <c r="T240" s="2" t="str">
        <f t="shared" si="6"/>
        <v>Q1</v>
      </c>
      <c r="U240" s="2" t="str">
        <f>IF('RAW DATA'!I240&gt;20,"High",IF('RAW DATA'!I240&gt;10,"Medium","Low"))</f>
        <v>Low</v>
      </c>
      <c r="V240" s="2" t="str">
        <f>IF('RAW DATA'!B240="","Yes","No")</f>
        <v>No</v>
      </c>
      <c r="W240" s="2" t="str">
        <f>IF(COUNTIF(A$2:A539,A240)&gt;1,"Duplicate","OK")</f>
        <v>OK</v>
      </c>
      <c r="X240">
        <f t="shared" si="7"/>
        <v>4</v>
      </c>
    </row>
    <row r="241" spans="1:24" x14ac:dyDescent="0.25">
      <c r="A241" s="3" t="s">
        <v>484</v>
      </c>
      <c r="B241" s="3" t="s">
        <v>485</v>
      </c>
      <c r="C241" s="3" t="s">
        <v>18</v>
      </c>
      <c r="D241" s="2" t="str">
        <f>PROPER('RAW DATA'!D241)</f>
        <v>Bob Nshimiyimana</v>
      </c>
      <c r="E241" s="3" t="s">
        <v>20</v>
      </c>
      <c r="F241" s="3" t="s">
        <v>21</v>
      </c>
      <c r="G241" s="3" t="s">
        <v>41</v>
      </c>
      <c r="H241" s="3" t="s">
        <v>65</v>
      </c>
      <c r="I241" s="5">
        <f>IFERROR(IF('RAW DATA'!I241="",AVERAGE('RAW DATA'!I$2:I$301),'RAW DATA'!I241),0)</f>
        <v>7.4</v>
      </c>
      <c r="J241" s="3">
        <v>1.5</v>
      </c>
      <c r="K241" s="3" t="s">
        <v>24</v>
      </c>
      <c r="L241" s="2">
        <f>IFERROR(IF('RAW DATA'!L241="",3,'RAW DATA'!L241),3)</f>
        <v>5</v>
      </c>
      <c r="M241" s="3" t="s">
        <v>59</v>
      </c>
      <c r="N241" s="3" t="s">
        <v>26</v>
      </c>
      <c r="O241" s="3">
        <v>0</v>
      </c>
      <c r="P241" s="3" t="s">
        <v>27</v>
      </c>
      <c r="Q241" s="10" t="s">
        <v>28</v>
      </c>
      <c r="R241" s="3" t="str">
        <f>IFERROR(TEXT('RAW DATA'!B241,"MMMM"),"UKNNOWN")</f>
        <v>July</v>
      </c>
      <c r="S241" s="5">
        <f>IFERROR(MONTH('RAW DATA'!B241),0)</f>
        <v>7</v>
      </c>
      <c r="T241" s="3" t="str">
        <f t="shared" si="6"/>
        <v>Q3</v>
      </c>
      <c r="U241" s="3" t="str">
        <f>IF('RAW DATA'!I241&gt;20,"High",IF('RAW DATA'!I241&gt;10,"Medium","Low"))</f>
        <v>Low</v>
      </c>
      <c r="V241" s="3" t="str">
        <f>IF('RAW DATA'!B241="","Yes","No")</f>
        <v>No</v>
      </c>
      <c r="W241" s="2" t="str">
        <f>IF(COUNTIF(A$2:A540,A241)&gt;1,"Duplicate","OK")</f>
        <v>OK</v>
      </c>
      <c r="X241">
        <f t="shared" si="7"/>
        <v>5</v>
      </c>
    </row>
    <row r="242" spans="1:24" x14ac:dyDescent="0.25">
      <c r="A242" s="2" t="s">
        <v>486</v>
      </c>
      <c r="B242" s="2" t="s">
        <v>461</v>
      </c>
      <c r="C242" s="2" t="s">
        <v>70</v>
      </c>
      <c r="D242" s="2" t="str">
        <f>PROPER('RAW DATA'!D242)</f>
        <v>Claire Mukamana</v>
      </c>
      <c r="E242" s="2" t="s">
        <v>33</v>
      </c>
      <c r="F242" s="2" t="s">
        <v>34</v>
      </c>
      <c r="G242" s="2" t="s">
        <v>22</v>
      </c>
      <c r="H242" s="2" t="s">
        <v>35</v>
      </c>
      <c r="I242" s="5">
        <f>IFERROR(IF('RAW DATA'!I242="",AVERAGE('RAW DATA'!I$2:I$301),'RAW DATA'!I242),0)</f>
        <v>7.7</v>
      </c>
      <c r="J242" s="2">
        <v>5.6</v>
      </c>
      <c r="K242" s="2" t="s">
        <v>24</v>
      </c>
      <c r="L242" s="2">
        <f>IFERROR(IF('RAW DATA'!L242="",3,'RAW DATA'!L242),3)</f>
        <v>3</v>
      </c>
      <c r="M242" s="2" t="s">
        <v>59</v>
      </c>
      <c r="N242" s="2" t="s">
        <v>26</v>
      </c>
      <c r="O242" s="2">
        <v>1</v>
      </c>
      <c r="P242" s="2" t="s">
        <v>66</v>
      </c>
      <c r="Q242" s="9" t="s">
        <v>73</v>
      </c>
      <c r="R242" s="2" t="str">
        <f>IFERROR(TEXT('RAW DATA'!B242,"MMMM"),"UKNNOWN")</f>
        <v>March</v>
      </c>
      <c r="S242" s="5">
        <f>IFERROR(MONTH('RAW DATA'!B242),0)</f>
        <v>3</v>
      </c>
      <c r="T242" s="2" t="str">
        <f t="shared" si="6"/>
        <v>Q1</v>
      </c>
      <c r="U242" s="2" t="str">
        <f>IF('RAW DATA'!I242&gt;20,"High",IF('RAW DATA'!I242&gt;10,"Medium","Low"))</f>
        <v>Low</v>
      </c>
      <c r="V242" s="2" t="str">
        <f>IF('RAW DATA'!B242="","Yes","No")</f>
        <v>No</v>
      </c>
      <c r="W242" s="2" t="str">
        <f>IF(COUNTIF(A$2:A541,A242)&gt;1,"Duplicate","OK")</f>
        <v>OK</v>
      </c>
      <c r="X242">
        <f t="shared" si="7"/>
        <v>3</v>
      </c>
    </row>
    <row r="243" spans="1:24" x14ac:dyDescent="0.25">
      <c r="A243" s="3" t="s">
        <v>487</v>
      </c>
      <c r="B243" s="3" t="s">
        <v>309</v>
      </c>
      <c r="C243" s="3" t="s">
        <v>49</v>
      </c>
      <c r="D243" s="2" t="str">
        <f>PROPER('RAW DATA'!D243)</f>
        <v>Frank Nzeyimana</v>
      </c>
      <c r="E243" s="3" t="s">
        <v>41</v>
      </c>
      <c r="F243" s="3" t="s">
        <v>42</v>
      </c>
      <c r="G243" s="3" t="s">
        <v>43</v>
      </c>
      <c r="H243" s="3" t="s">
        <v>65</v>
      </c>
      <c r="I243" s="5">
        <f>IFERROR(IF('RAW DATA'!I243="",AVERAGE('RAW DATA'!I$2:I$301),'RAW DATA'!I243),0)</f>
        <v>8</v>
      </c>
      <c r="J243" s="3">
        <v>5.5</v>
      </c>
      <c r="K243" s="3" t="s">
        <v>24</v>
      </c>
      <c r="L243" s="2">
        <f>IFERROR(IF('RAW DATA'!L243="",3,'RAW DATA'!L243),3)</f>
        <v>4</v>
      </c>
      <c r="M243" s="3" t="s">
        <v>90</v>
      </c>
      <c r="N243" s="3" t="s">
        <v>26</v>
      </c>
      <c r="O243" s="3">
        <v>0</v>
      </c>
      <c r="P243" s="3" t="s">
        <v>52</v>
      </c>
      <c r="Q243" s="10" t="s">
        <v>53</v>
      </c>
      <c r="R243" s="3" t="str">
        <f>IFERROR(TEXT('RAW DATA'!B243,"MMMM"),"UKNNOWN")</f>
        <v>February</v>
      </c>
      <c r="S243" s="5">
        <f>IFERROR(MONTH('RAW DATA'!B243),0)</f>
        <v>2</v>
      </c>
      <c r="T243" s="3" t="str">
        <f t="shared" si="6"/>
        <v>Q1</v>
      </c>
      <c r="U243" s="3" t="str">
        <f>IF('RAW DATA'!I243&gt;20,"High",IF('RAW DATA'!I243&gt;10,"Medium","Low"))</f>
        <v>Low</v>
      </c>
      <c r="V243" s="3" t="str">
        <f>IF('RAW DATA'!B243="","Yes","No")</f>
        <v>No</v>
      </c>
      <c r="W243" s="2" t="str">
        <f>IF(COUNTIF(A$2:A542,A243)&gt;1,"Duplicate","OK")</f>
        <v>OK</v>
      </c>
      <c r="X243">
        <f t="shared" si="7"/>
        <v>4</v>
      </c>
    </row>
    <row r="244" spans="1:24" x14ac:dyDescent="0.25">
      <c r="A244" s="2" t="s">
        <v>488</v>
      </c>
      <c r="B244" s="2" t="s">
        <v>301</v>
      </c>
      <c r="C244" s="2" t="s">
        <v>39</v>
      </c>
      <c r="D244" s="2" t="str">
        <f>PROPER('RAW DATA'!D244)</f>
        <v>Grace Uwase</v>
      </c>
      <c r="E244" s="2" t="s">
        <v>41</v>
      </c>
      <c r="F244" s="2" t="s">
        <v>42</v>
      </c>
      <c r="G244" s="2" t="s">
        <v>43</v>
      </c>
      <c r="H244" s="2" t="s">
        <v>44</v>
      </c>
      <c r="I244" s="5">
        <f>IFERROR(IF('RAW DATA'!I244="",AVERAGE('RAW DATA'!I$2:I$301),'RAW DATA'!I244),0)</f>
        <v>5.9</v>
      </c>
      <c r="J244" s="2">
        <v>6.4</v>
      </c>
      <c r="K244" s="2" t="s">
        <v>24</v>
      </c>
      <c r="L244" s="2">
        <f>IFERROR(IF('RAW DATA'!L244="",3,'RAW DATA'!L244),3)</f>
        <v>5</v>
      </c>
      <c r="M244" s="2" t="s">
        <v>51</v>
      </c>
      <c r="N244" s="2" t="s">
        <v>26</v>
      </c>
      <c r="O244" s="2">
        <v>1</v>
      </c>
      <c r="P244" s="2" t="s">
        <v>52</v>
      </c>
      <c r="Q244" s="9" t="s">
        <v>46</v>
      </c>
      <c r="R244" s="2" t="str">
        <f>IFERROR(TEXT('RAW DATA'!B244,"MMMM"),"UKNNOWN")</f>
        <v>January</v>
      </c>
      <c r="S244" s="5">
        <f>IFERROR(MONTH('RAW DATA'!B244),0)</f>
        <v>1</v>
      </c>
      <c r="T244" s="2" t="str">
        <f t="shared" si="6"/>
        <v>Q1</v>
      </c>
      <c r="U244" s="2" t="str">
        <f>IF('RAW DATA'!I244&gt;20,"High",IF('RAW DATA'!I244&gt;10,"Medium","Low"))</f>
        <v>Low</v>
      </c>
      <c r="V244" s="2" t="str">
        <f>IF('RAW DATA'!B244="","Yes","No")</f>
        <v>No</v>
      </c>
      <c r="W244" s="2" t="str">
        <f>IF(COUNTIF(A$2:A543,A244)&gt;1,"Duplicate","OK")</f>
        <v>OK</v>
      </c>
      <c r="X244">
        <f t="shared" si="7"/>
        <v>5</v>
      </c>
    </row>
    <row r="245" spans="1:24" x14ac:dyDescent="0.25">
      <c r="A245" s="3" t="s">
        <v>489</v>
      </c>
      <c r="B245" s="3" t="s">
        <v>269</v>
      </c>
      <c r="C245" s="3" t="s">
        <v>78</v>
      </c>
      <c r="D245" s="2" t="str">
        <f>PROPER('RAW DATA'!D245)</f>
        <v>Eve Ingabire</v>
      </c>
      <c r="E245" s="3" t="s">
        <v>20</v>
      </c>
      <c r="F245" s="3" t="s">
        <v>21</v>
      </c>
      <c r="G245" s="3" t="s">
        <v>43</v>
      </c>
      <c r="H245" s="3" t="s">
        <v>95</v>
      </c>
      <c r="I245" s="5">
        <f>IFERROR(IF('RAW DATA'!I245="",AVERAGE('RAW DATA'!I$2:I$301),'RAW DATA'!I245),0)</f>
        <v>4.9000000000000004</v>
      </c>
      <c r="J245" s="3">
        <v>8.4</v>
      </c>
      <c r="K245" s="3" t="s">
        <v>26</v>
      </c>
      <c r="L245" s="2">
        <f>IFERROR(IF('RAW DATA'!L245="",3,'RAW DATA'!L245),3)</f>
        <v>3</v>
      </c>
      <c r="M245" s="3" t="s">
        <v>51</v>
      </c>
      <c r="N245" s="3" t="s">
        <v>24</v>
      </c>
      <c r="O245" s="3">
        <v>3</v>
      </c>
      <c r="P245" s="3" t="s">
        <v>66</v>
      </c>
      <c r="Q245" s="10" t="s">
        <v>82</v>
      </c>
      <c r="R245" s="3" t="str">
        <f>IFERROR(TEXT('RAW DATA'!B245,"MMMM"),"UKNNOWN")</f>
        <v>March</v>
      </c>
      <c r="S245" s="5">
        <f>IFERROR(MONTH('RAW DATA'!B245),0)</f>
        <v>3</v>
      </c>
      <c r="T245" s="3" t="str">
        <f t="shared" si="6"/>
        <v>Q1</v>
      </c>
      <c r="U245" s="3" t="str">
        <f>IF('RAW DATA'!I245&gt;20,"High",IF('RAW DATA'!I245&gt;10,"Medium","Low"))</f>
        <v>Low</v>
      </c>
      <c r="V245" s="3" t="str">
        <f>IF('RAW DATA'!B245="","Yes","No")</f>
        <v>No</v>
      </c>
      <c r="W245" s="2" t="str">
        <f>IF(COUNTIF(A$2:A544,A245)&gt;1,"Duplicate","OK")</f>
        <v>OK</v>
      </c>
      <c r="X245">
        <f t="shared" si="7"/>
        <v>3</v>
      </c>
    </row>
    <row r="246" spans="1:24" x14ac:dyDescent="0.25">
      <c r="A246" s="2" t="s">
        <v>490</v>
      </c>
      <c r="B246" s="2" t="s">
        <v>307</v>
      </c>
      <c r="C246" s="2" t="s">
        <v>49</v>
      </c>
      <c r="D246" s="2" t="str">
        <f>PROPER('RAW DATA'!D246)</f>
        <v>Frank Nzeyimana</v>
      </c>
      <c r="E246" s="2" t="s">
        <v>41</v>
      </c>
      <c r="F246" s="2" t="s">
        <v>42</v>
      </c>
      <c r="G246" s="2" t="s">
        <v>43</v>
      </c>
      <c r="H246" s="2" t="s">
        <v>65</v>
      </c>
      <c r="I246" s="5">
        <f>IFERROR(IF('RAW DATA'!I246="",AVERAGE('RAW DATA'!I$2:I$301),'RAW DATA'!I246),0)</f>
        <v>4.0999999999999996</v>
      </c>
      <c r="J246" s="2">
        <v>6.6</v>
      </c>
      <c r="K246" s="2" t="s">
        <v>24</v>
      </c>
      <c r="L246" s="2">
        <f>IFERROR(IF('RAW DATA'!L246="",3,'RAW DATA'!L246),3)</f>
        <v>4</v>
      </c>
      <c r="M246" s="2" t="s">
        <v>51</v>
      </c>
      <c r="N246" s="2" t="s">
        <v>26</v>
      </c>
      <c r="O246" s="2">
        <v>0</v>
      </c>
      <c r="P246" s="2" t="s">
        <v>27</v>
      </c>
      <c r="Q246" s="9" t="s">
        <v>53</v>
      </c>
      <c r="R246" s="2" t="str">
        <f>IFERROR(TEXT('RAW DATA'!B246,"MMMM"),"UKNNOWN")</f>
        <v>May</v>
      </c>
      <c r="S246" s="5">
        <f>IFERROR(MONTH('RAW DATA'!B246),0)</f>
        <v>5</v>
      </c>
      <c r="T246" s="2" t="str">
        <f t="shared" si="6"/>
        <v>Q2</v>
      </c>
      <c r="U246" s="2" t="str">
        <f>IF('RAW DATA'!I246&gt;20,"High",IF('RAW DATA'!I246&gt;10,"Medium","Low"))</f>
        <v>Low</v>
      </c>
      <c r="V246" s="2" t="str">
        <f>IF('RAW DATA'!B246="","Yes","No")</f>
        <v>No</v>
      </c>
      <c r="W246" s="2" t="str">
        <f>IF(COUNTIF(A$2:A545,A246)&gt;1,"Duplicate","OK")</f>
        <v>OK</v>
      </c>
      <c r="X246">
        <f t="shared" si="7"/>
        <v>4</v>
      </c>
    </row>
    <row r="247" spans="1:24" x14ac:dyDescent="0.25">
      <c r="A247" s="3" t="s">
        <v>491</v>
      </c>
      <c r="B247" s="3" t="s">
        <v>364</v>
      </c>
      <c r="C247" s="3" t="s">
        <v>63</v>
      </c>
      <c r="D247" s="2" t="str">
        <f>PROPER('RAW DATA'!D247)</f>
        <v>Henry Bizimana</v>
      </c>
      <c r="E247" s="3" t="s">
        <v>33</v>
      </c>
      <c r="F247" s="3" t="s">
        <v>34</v>
      </c>
      <c r="G247" s="3" t="s">
        <v>22</v>
      </c>
      <c r="H247" s="3" t="s">
        <v>65</v>
      </c>
      <c r="I247" s="5">
        <f>IFERROR(IF('RAW DATA'!I247="",AVERAGE('RAW DATA'!I$2:I$301),'RAW DATA'!I247),0)</f>
        <v>7.6041237113402103</v>
      </c>
      <c r="J247" s="3">
        <v>3.5</v>
      </c>
      <c r="K247" s="3" t="s">
        <v>24</v>
      </c>
      <c r="L247" s="2">
        <f>IFERROR(IF('RAW DATA'!L247="",3,'RAW DATA'!L247),3)</f>
        <v>5</v>
      </c>
      <c r="M247" s="3" t="s">
        <v>90</v>
      </c>
      <c r="N247" s="3" t="s">
        <v>26</v>
      </c>
      <c r="O247" s="3">
        <v>0</v>
      </c>
      <c r="P247" s="3" t="s">
        <v>52</v>
      </c>
      <c r="Q247" s="10" t="s">
        <v>67</v>
      </c>
      <c r="R247" s="3" t="str">
        <f>IFERROR(TEXT('RAW DATA'!B247,"MMMM"),"UKNNOWN")</f>
        <v>January</v>
      </c>
      <c r="S247" s="5">
        <f>IFERROR(MONTH('RAW DATA'!B247),0)</f>
        <v>1</v>
      </c>
      <c r="T247" s="3" t="str">
        <f t="shared" si="6"/>
        <v>Q1</v>
      </c>
      <c r="U247" s="3" t="str">
        <f>IF('RAW DATA'!I247&gt;20,"High",IF('RAW DATA'!I247&gt;10,"Medium","Low"))</f>
        <v>Low</v>
      </c>
      <c r="V247" s="3" t="str">
        <f>IF('RAW DATA'!B247="","Yes","No")</f>
        <v>No</v>
      </c>
      <c r="W247" s="2" t="str">
        <f>IF(COUNTIF(A$2:A546,A247)&gt;1,"Duplicate","OK")</f>
        <v>OK</v>
      </c>
      <c r="X247">
        <f t="shared" si="7"/>
        <v>5</v>
      </c>
    </row>
    <row r="248" spans="1:24" x14ac:dyDescent="0.25">
      <c r="A248" s="2" t="s">
        <v>492</v>
      </c>
      <c r="B248" s="2" t="s">
        <v>493</v>
      </c>
      <c r="C248" s="2" t="s">
        <v>78</v>
      </c>
      <c r="D248" s="2" t="str">
        <f>PROPER('RAW DATA'!D248)</f>
        <v>Eve Ingabire</v>
      </c>
      <c r="E248" s="2" t="s">
        <v>20</v>
      </c>
      <c r="F248" s="2" t="s">
        <v>21</v>
      </c>
      <c r="G248" s="2" t="s">
        <v>41</v>
      </c>
      <c r="H248" s="2" t="s">
        <v>95</v>
      </c>
      <c r="I248" s="5">
        <f>IFERROR(IF('RAW DATA'!I248="",AVERAGE('RAW DATA'!I$2:I$301),'RAW DATA'!I248),0)</f>
        <v>5.4</v>
      </c>
      <c r="J248" s="2">
        <v>1.3</v>
      </c>
      <c r="K248" s="2" t="s">
        <v>24</v>
      </c>
      <c r="L248" s="2">
        <f>IFERROR(IF('RAW DATA'!L248="",3,'RAW DATA'!L248),3)</f>
        <v>5</v>
      </c>
      <c r="M248" s="2" t="s">
        <v>51</v>
      </c>
      <c r="N248" s="2" t="s">
        <v>26</v>
      </c>
      <c r="O248" s="2">
        <v>0</v>
      </c>
      <c r="P248" s="2" t="s">
        <v>52</v>
      </c>
      <c r="Q248" s="9" t="s">
        <v>82</v>
      </c>
      <c r="R248" s="2" t="str">
        <f>IFERROR(TEXT('RAW DATA'!B248,"MMMM"),"UKNNOWN")</f>
        <v>May</v>
      </c>
      <c r="S248" s="5">
        <f>IFERROR(MONTH('RAW DATA'!B248),0)</f>
        <v>5</v>
      </c>
      <c r="T248" s="2" t="str">
        <f t="shared" si="6"/>
        <v>Q2</v>
      </c>
      <c r="U248" s="2" t="str">
        <f>IF('RAW DATA'!I248&gt;20,"High",IF('RAW DATA'!I248&gt;10,"Medium","Low"))</f>
        <v>Low</v>
      </c>
      <c r="V248" s="2" t="str">
        <f>IF('RAW DATA'!B248="","Yes","No")</f>
        <v>No</v>
      </c>
      <c r="W248" s="2" t="str">
        <f>IF(COUNTIF(A$2:A547,A248)&gt;1,"Duplicate","OK")</f>
        <v>OK</v>
      </c>
      <c r="X248">
        <f t="shared" si="7"/>
        <v>5</v>
      </c>
    </row>
    <row r="249" spans="1:24" x14ac:dyDescent="0.25">
      <c r="A249" s="3" t="s">
        <v>494</v>
      </c>
      <c r="B249" s="3" t="s">
        <v>282</v>
      </c>
      <c r="C249" s="3" t="s">
        <v>85</v>
      </c>
      <c r="D249" s="2" t="str">
        <f>PROPER('RAW DATA'!D249)</f>
        <v>Irene Mutesi</v>
      </c>
      <c r="E249" s="3" t="s">
        <v>20</v>
      </c>
      <c r="F249" s="3" t="s">
        <v>21</v>
      </c>
      <c r="G249" s="3" t="s">
        <v>41</v>
      </c>
      <c r="H249" s="3" t="s">
        <v>58</v>
      </c>
      <c r="I249" s="5">
        <f>IFERROR(IF('RAW DATA'!I249="",AVERAGE('RAW DATA'!I$2:I$301),'RAW DATA'!I249),0)</f>
        <v>1.3</v>
      </c>
      <c r="J249" s="3">
        <v>3.8</v>
      </c>
      <c r="K249" s="3" t="s">
        <v>24</v>
      </c>
      <c r="L249" s="2">
        <f>IFERROR(IF('RAW DATA'!L249="",3,'RAW DATA'!L249),3)</f>
        <v>5</v>
      </c>
      <c r="M249" s="3" t="s">
        <v>25</v>
      </c>
      <c r="N249" s="3" t="s">
        <v>26</v>
      </c>
      <c r="O249" s="3">
        <v>0</v>
      </c>
      <c r="P249" s="3" t="s">
        <v>66</v>
      </c>
      <c r="Q249" s="10" t="s">
        <v>87</v>
      </c>
      <c r="R249" s="3" t="str">
        <f>IFERROR(TEXT('RAW DATA'!B249,"MMMM"),"UKNNOWN")</f>
        <v>July</v>
      </c>
      <c r="S249" s="5">
        <f>IFERROR(MONTH('RAW DATA'!B249),0)</f>
        <v>7</v>
      </c>
      <c r="T249" s="3" t="str">
        <f t="shared" si="6"/>
        <v>Q3</v>
      </c>
      <c r="U249" s="3" t="str">
        <f>IF('RAW DATA'!I249&gt;20,"High",IF('RAW DATA'!I249&gt;10,"Medium","Low"))</f>
        <v>Low</v>
      </c>
      <c r="V249" s="3" t="str">
        <f>IF('RAW DATA'!B249="","Yes","No")</f>
        <v>No</v>
      </c>
      <c r="W249" s="2" t="str">
        <f>IF(COUNTIF(A$2:A548,A249)&gt;1,"Duplicate","OK")</f>
        <v>OK</v>
      </c>
      <c r="X249">
        <f t="shared" si="7"/>
        <v>5</v>
      </c>
    </row>
    <row r="250" spans="1:24" x14ac:dyDescent="0.25">
      <c r="A250" s="2" t="s">
        <v>495</v>
      </c>
      <c r="B250" s="2" t="s">
        <v>496</v>
      </c>
      <c r="C250" s="2" t="s">
        <v>49</v>
      </c>
      <c r="D250" s="2" t="str">
        <f>PROPER('RAW DATA'!D250)</f>
        <v>Frank Nzeyimana</v>
      </c>
      <c r="E250" s="2" t="s">
        <v>41</v>
      </c>
      <c r="F250" s="2" t="s">
        <v>42</v>
      </c>
      <c r="G250" s="2" t="s">
        <v>22</v>
      </c>
      <c r="H250" s="2" t="s">
        <v>58</v>
      </c>
      <c r="I250" s="5">
        <f>IFERROR(IF('RAW DATA'!I250="",AVERAGE('RAW DATA'!I$2:I$301),'RAW DATA'!I250),0)</f>
        <v>10.1</v>
      </c>
      <c r="J250" s="2">
        <v>6.4</v>
      </c>
      <c r="K250" s="2" t="s">
        <v>24</v>
      </c>
      <c r="L250" s="2">
        <f>IFERROR(IF('RAW DATA'!L250="",3,'RAW DATA'!L250),3)</f>
        <v>4</v>
      </c>
      <c r="M250" s="2" t="s">
        <v>25</v>
      </c>
      <c r="N250" s="2" t="s">
        <v>26</v>
      </c>
      <c r="O250" s="2">
        <v>1</v>
      </c>
      <c r="P250" s="2" t="s">
        <v>66</v>
      </c>
      <c r="Q250" s="9" t="s">
        <v>53</v>
      </c>
      <c r="R250" s="2" t="str">
        <f>IFERROR(TEXT('RAW DATA'!B250,"MMMM"),"UKNNOWN")</f>
        <v>May</v>
      </c>
      <c r="S250" s="5">
        <f>IFERROR(MONTH('RAW DATA'!B250),0)</f>
        <v>5</v>
      </c>
      <c r="T250" s="2" t="str">
        <f t="shared" si="6"/>
        <v>Q2</v>
      </c>
      <c r="U250" s="2" t="str">
        <f>IF('RAW DATA'!I250&gt;20,"High",IF('RAW DATA'!I250&gt;10,"Medium","Low"))</f>
        <v>Medium</v>
      </c>
      <c r="V250" s="2" t="str">
        <f>IF('RAW DATA'!B250="","Yes","No")</f>
        <v>No</v>
      </c>
      <c r="W250" s="2" t="str">
        <f>IF(COUNTIF(A$2:A549,A250)&gt;1,"Duplicate","OK")</f>
        <v>OK</v>
      </c>
      <c r="X250">
        <f t="shared" si="7"/>
        <v>4</v>
      </c>
    </row>
    <row r="251" spans="1:24" x14ac:dyDescent="0.25">
      <c r="A251" s="3" t="s">
        <v>497</v>
      </c>
      <c r="B251" s="3" t="s">
        <v>498</v>
      </c>
      <c r="C251" s="3" t="s">
        <v>78</v>
      </c>
      <c r="D251" s="2" t="str">
        <f>PROPER('RAW DATA'!D251)</f>
        <v>Eve Ingabire</v>
      </c>
      <c r="E251" s="3" t="s">
        <v>20</v>
      </c>
      <c r="F251" s="3" t="s">
        <v>21</v>
      </c>
      <c r="G251" s="3" t="s">
        <v>43</v>
      </c>
      <c r="H251" s="3" t="s">
        <v>44</v>
      </c>
      <c r="I251" s="5">
        <f>IFERROR(IF('RAW DATA'!I251="",AVERAGE('RAW DATA'!I$2:I$301),'RAW DATA'!I251),0)</f>
        <v>8.9</v>
      </c>
      <c r="J251" s="3">
        <v>7.3</v>
      </c>
      <c r="K251" s="3" t="s">
        <v>24</v>
      </c>
      <c r="L251" s="2">
        <f>IFERROR(IF('RAW DATA'!L251="",3,'RAW DATA'!L251),3)</f>
        <v>4</v>
      </c>
      <c r="M251" s="3" t="s">
        <v>59</v>
      </c>
      <c r="N251" s="3" t="s">
        <v>26</v>
      </c>
      <c r="O251" s="3">
        <v>0</v>
      </c>
      <c r="P251" s="3" t="s">
        <v>52</v>
      </c>
      <c r="Q251" s="10" t="s">
        <v>82</v>
      </c>
      <c r="R251" s="3" t="str">
        <f>IFERROR(TEXT('RAW DATA'!B251,"MMMM"),"UKNNOWN")</f>
        <v>February</v>
      </c>
      <c r="S251" s="5">
        <f>IFERROR(MONTH('RAW DATA'!B251),0)</f>
        <v>2</v>
      </c>
      <c r="T251" s="3" t="str">
        <f t="shared" si="6"/>
        <v>Q1</v>
      </c>
      <c r="U251" s="3" t="str">
        <f>IF('RAW DATA'!I251&gt;20,"High",IF('RAW DATA'!I251&gt;10,"Medium","Low"))</f>
        <v>Low</v>
      </c>
      <c r="V251" s="3" t="str">
        <f>IF('RAW DATA'!B251="","Yes","No")</f>
        <v>No</v>
      </c>
      <c r="W251" s="2" t="str">
        <f>IF(COUNTIF(A$2:A550,A251)&gt;1,"Duplicate","OK")</f>
        <v>OK</v>
      </c>
      <c r="X251">
        <f t="shared" si="7"/>
        <v>4</v>
      </c>
    </row>
    <row r="252" spans="1:24" x14ac:dyDescent="0.25">
      <c r="A252" s="2" t="s">
        <v>499</v>
      </c>
      <c r="B252" s="2"/>
      <c r="C252" s="2" t="s">
        <v>56</v>
      </c>
      <c r="D252" s="2" t="str">
        <f>PROPER('RAW DATA'!D252)</f>
        <v>John Gasana</v>
      </c>
      <c r="E252" s="2" t="s">
        <v>41</v>
      </c>
      <c r="F252" s="2" t="s">
        <v>42</v>
      </c>
      <c r="G252" s="2" t="s">
        <v>43</v>
      </c>
      <c r="H252" s="2" t="s">
        <v>44</v>
      </c>
      <c r="I252" s="5">
        <f>IFERROR(IF('RAW DATA'!I252="",AVERAGE('RAW DATA'!I$2:I$301),'RAW DATA'!I252),0)</f>
        <v>7.4</v>
      </c>
      <c r="J252" s="2">
        <v>2.9</v>
      </c>
      <c r="K252" s="2" t="s">
        <v>24</v>
      </c>
      <c r="L252" s="2">
        <f>IFERROR(IF('RAW DATA'!L252="",3,'RAW DATA'!L252),3)</f>
        <v>5</v>
      </c>
      <c r="M252" s="2" t="s">
        <v>25</v>
      </c>
      <c r="N252" s="2" t="s">
        <v>26</v>
      </c>
      <c r="O252" s="2">
        <v>1</v>
      </c>
      <c r="P252" s="2" t="s">
        <v>45</v>
      </c>
      <c r="Q252" s="9" t="s">
        <v>60</v>
      </c>
      <c r="R252" s="2" t="str">
        <f>IFERROR(TEXT('RAW DATA'!B252,"MMMM"),"UKNNOWN")</f>
        <v>January</v>
      </c>
      <c r="S252" s="5">
        <f>IFERROR(MONTH('RAW DATA'!B252),0)</f>
        <v>1</v>
      </c>
      <c r="T252" s="2" t="str">
        <f t="shared" si="6"/>
        <v>Q1</v>
      </c>
      <c r="U252" s="2" t="str">
        <f>IF('RAW DATA'!I252&gt;20,"High",IF('RAW DATA'!I252&gt;10,"Medium","Low"))</f>
        <v>Low</v>
      </c>
      <c r="V252" s="2" t="str">
        <f>IF('RAW DATA'!B252="","Yes","No")</f>
        <v>Yes</v>
      </c>
      <c r="W252" s="2" t="str">
        <f>IF(COUNTIF(A$2:A551,A252)&gt;1,"Duplicate","OK")</f>
        <v>OK</v>
      </c>
      <c r="X252">
        <f t="shared" si="7"/>
        <v>5</v>
      </c>
    </row>
    <row r="253" spans="1:24" x14ac:dyDescent="0.25">
      <c r="A253" s="3" t="s">
        <v>501</v>
      </c>
      <c r="B253" s="3" t="s">
        <v>147</v>
      </c>
      <c r="C253" s="3" t="s">
        <v>70</v>
      </c>
      <c r="D253" s="2" t="str">
        <f>PROPER('RAW DATA'!D253)</f>
        <v>Claire Mukamana</v>
      </c>
      <c r="E253" s="3" t="s">
        <v>33</v>
      </c>
      <c r="F253" s="3" t="s">
        <v>34</v>
      </c>
      <c r="G253" s="3" t="s">
        <v>22</v>
      </c>
      <c r="H253" s="3" t="s">
        <v>58</v>
      </c>
      <c r="I253" s="5">
        <f>IFERROR(IF('RAW DATA'!I253="",AVERAGE('RAW DATA'!I$2:I$301),'RAW DATA'!I253),0)</f>
        <v>6.4</v>
      </c>
      <c r="J253" s="3">
        <v>5.5</v>
      </c>
      <c r="K253" s="3" t="s">
        <v>24</v>
      </c>
      <c r="L253" s="2">
        <f>IFERROR(IF('RAW DATA'!L253="",3,'RAW DATA'!L253),3)</f>
        <v>5</v>
      </c>
      <c r="M253" s="3" t="s">
        <v>59</v>
      </c>
      <c r="N253" s="3" t="s">
        <v>26</v>
      </c>
      <c r="O253" s="3">
        <v>1</v>
      </c>
      <c r="P253" s="3" t="s">
        <v>66</v>
      </c>
      <c r="Q253" s="10" t="s">
        <v>73</v>
      </c>
      <c r="R253" s="3" t="str">
        <f>IFERROR(TEXT('RAW DATA'!B253,"MMMM"),"UKNNOWN")</f>
        <v>February</v>
      </c>
      <c r="S253" s="5">
        <f>IFERROR(MONTH('RAW DATA'!B253),0)</f>
        <v>2</v>
      </c>
      <c r="T253" s="3" t="str">
        <f t="shared" si="6"/>
        <v>Q1</v>
      </c>
      <c r="U253" s="3" t="str">
        <f>IF('RAW DATA'!I253&gt;20,"High",IF('RAW DATA'!I253&gt;10,"Medium","Low"))</f>
        <v>Low</v>
      </c>
      <c r="V253" s="3" t="str">
        <f>IF('RAW DATA'!B253="","Yes","No")</f>
        <v>No</v>
      </c>
      <c r="W253" s="2" t="str">
        <f>IF(COUNTIF(A$2:A552,A253)&gt;1,"Duplicate","OK")</f>
        <v>OK</v>
      </c>
      <c r="X253">
        <f t="shared" si="7"/>
        <v>5</v>
      </c>
    </row>
    <row r="254" spans="1:24" x14ac:dyDescent="0.25">
      <c r="A254" s="2" t="s">
        <v>502</v>
      </c>
      <c r="B254" s="2" t="s">
        <v>503</v>
      </c>
      <c r="C254" s="2" t="s">
        <v>63</v>
      </c>
      <c r="D254" s="2" t="str">
        <f>PROPER('RAW DATA'!D254)</f>
        <v>Henry Bizimana</v>
      </c>
      <c r="E254" s="2" t="s">
        <v>33</v>
      </c>
      <c r="F254" s="2" t="s">
        <v>34</v>
      </c>
      <c r="G254" s="2" t="s">
        <v>43</v>
      </c>
      <c r="H254" s="2" t="s">
        <v>58</v>
      </c>
      <c r="I254" s="5">
        <f>IFERROR(IF('RAW DATA'!I254="",AVERAGE('RAW DATA'!I$2:I$301),'RAW DATA'!I254),0)</f>
        <v>6.9</v>
      </c>
      <c r="J254" s="2">
        <v>5.5</v>
      </c>
      <c r="K254" s="2" t="s">
        <v>24</v>
      </c>
      <c r="L254" s="2">
        <f>IFERROR(IF('RAW DATA'!L254="",3,'RAW DATA'!L254),3)</f>
        <v>5</v>
      </c>
      <c r="M254" s="2" t="s">
        <v>81</v>
      </c>
      <c r="N254" s="2" t="s">
        <v>26</v>
      </c>
      <c r="O254" s="2">
        <v>0</v>
      </c>
      <c r="P254" s="2" t="s">
        <v>45</v>
      </c>
      <c r="Q254" s="9" t="s">
        <v>67</v>
      </c>
      <c r="R254" s="2" t="str">
        <f>IFERROR(TEXT('RAW DATA'!B254,"MMMM"),"UKNNOWN")</f>
        <v>December</v>
      </c>
      <c r="S254" s="5">
        <f>IFERROR(MONTH('RAW DATA'!B254),0)</f>
        <v>12</v>
      </c>
      <c r="T254" s="2" t="str">
        <f t="shared" si="6"/>
        <v>Q4</v>
      </c>
      <c r="U254" s="2" t="str">
        <f>IF('RAW DATA'!I254&gt;20,"High",IF('RAW DATA'!I254&gt;10,"Medium","Low"))</f>
        <v>Low</v>
      </c>
      <c r="V254" s="2" t="str">
        <f>IF('RAW DATA'!B254="","Yes","No")</f>
        <v>No</v>
      </c>
      <c r="W254" s="2" t="str">
        <f>IF(COUNTIF(A$2:A553,A254)&gt;1,"Duplicate","OK")</f>
        <v>OK</v>
      </c>
      <c r="X254">
        <f t="shared" si="7"/>
        <v>5</v>
      </c>
    </row>
    <row r="255" spans="1:24" x14ac:dyDescent="0.25">
      <c r="A255" s="3" t="s">
        <v>504</v>
      </c>
      <c r="B255" s="3" t="s">
        <v>307</v>
      </c>
      <c r="C255" s="3" t="s">
        <v>85</v>
      </c>
      <c r="D255" s="2" t="str">
        <f>PROPER('RAW DATA'!D255)</f>
        <v>Irene Mutesi</v>
      </c>
      <c r="E255" s="3" t="s">
        <v>20</v>
      </c>
      <c r="F255" s="3" t="s">
        <v>21</v>
      </c>
      <c r="G255" s="3" t="s">
        <v>22</v>
      </c>
      <c r="H255" s="3" t="s">
        <v>65</v>
      </c>
      <c r="I255" s="5">
        <f>IFERROR(IF('RAW DATA'!I255="",AVERAGE('RAW DATA'!I$2:I$301),'RAW DATA'!I255),0)</f>
        <v>8.8000000000000007</v>
      </c>
      <c r="J255" s="3">
        <v>5.0999999999999996</v>
      </c>
      <c r="K255" s="3" t="s">
        <v>24</v>
      </c>
      <c r="L255" s="2">
        <f>IFERROR(IF('RAW DATA'!L255="",3,'RAW DATA'!L255),3)</f>
        <v>4</v>
      </c>
      <c r="M255" s="3" t="s">
        <v>81</v>
      </c>
      <c r="N255" s="3" t="s">
        <v>26</v>
      </c>
      <c r="O255" s="3">
        <v>1</v>
      </c>
      <c r="P255" s="3" t="s">
        <v>13</v>
      </c>
      <c r="Q255" s="10" t="s">
        <v>87</v>
      </c>
      <c r="R255" s="3" t="str">
        <f>IFERROR(TEXT('RAW DATA'!B255,"MMMM"),"UKNNOWN")</f>
        <v>May</v>
      </c>
      <c r="S255" s="5">
        <f>IFERROR(MONTH('RAW DATA'!B255),0)</f>
        <v>5</v>
      </c>
      <c r="T255" s="3" t="str">
        <f t="shared" si="6"/>
        <v>Q2</v>
      </c>
      <c r="U255" s="3" t="str">
        <f>IF('RAW DATA'!I255&gt;20,"High",IF('RAW DATA'!I255&gt;10,"Medium","Low"))</f>
        <v>Low</v>
      </c>
      <c r="V255" s="3" t="str">
        <f>IF('RAW DATA'!B255="","Yes","No")</f>
        <v>No</v>
      </c>
      <c r="W255" s="2" t="str">
        <f>IF(COUNTIF(A$2:A554,A255)&gt;1,"Duplicate","OK")</f>
        <v>OK</v>
      </c>
      <c r="X255">
        <f t="shared" si="7"/>
        <v>4</v>
      </c>
    </row>
    <row r="256" spans="1:24" x14ac:dyDescent="0.25">
      <c r="A256" s="2" t="s">
        <v>505</v>
      </c>
      <c r="B256" s="2" t="s">
        <v>94</v>
      </c>
      <c r="C256" s="2" t="s">
        <v>39</v>
      </c>
      <c r="D256" s="2" t="str">
        <f>PROPER('RAW DATA'!D256)</f>
        <v>Grace Uwase</v>
      </c>
      <c r="E256" s="2" t="s">
        <v>41</v>
      </c>
      <c r="F256" s="2" t="s">
        <v>42</v>
      </c>
      <c r="G256" s="2" t="s">
        <v>22</v>
      </c>
      <c r="H256" s="2" t="s">
        <v>44</v>
      </c>
      <c r="I256" s="5">
        <f>IFERROR(IF('RAW DATA'!I256="",AVERAGE('RAW DATA'!I$2:I$301),'RAW DATA'!I256),0)</f>
        <v>4.0999999999999996</v>
      </c>
      <c r="J256" s="2">
        <v>6</v>
      </c>
      <c r="K256" s="2" t="s">
        <v>24</v>
      </c>
      <c r="L256" s="2">
        <f>IFERROR(IF('RAW DATA'!L256="",3,'RAW DATA'!L256),3)</f>
        <v>5</v>
      </c>
      <c r="M256" s="2" t="s">
        <v>25</v>
      </c>
      <c r="N256" s="2" t="s">
        <v>26</v>
      </c>
      <c r="O256" s="2">
        <v>1</v>
      </c>
      <c r="P256" s="2" t="s">
        <v>27</v>
      </c>
      <c r="Q256" s="9" t="s">
        <v>46</v>
      </c>
      <c r="R256" s="2" t="str">
        <f>IFERROR(TEXT('RAW DATA'!B256,"MMMM"),"UKNNOWN")</f>
        <v>November</v>
      </c>
      <c r="S256" s="5">
        <f>IFERROR(MONTH('RAW DATA'!B256),0)</f>
        <v>11</v>
      </c>
      <c r="T256" s="2" t="str">
        <f t="shared" si="6"/>
        <v>Q4</v>
      </c>
      <c r="U256" s="2" t="str">
        <f>IF('RAW DATA'!I256&gt;20,"High",IF('RAW DATA'!I256&gt;10,"Medium","Low"))</f>
        <v>Low</v>
      </c>
      <c r="V256" s="2" t="str">
        <f>IF('RAW DATA'!B256="","Yes","No")</f>
        <v>No</v>
      </c>
      <c r="W256" s="2" t="str">
        <f>IF(COUNTIF(A$2:A555,A256)&gt;1,"Duplicate","OK")</f>
        <v>OK</v>
      </c>
      <c r="X256">
        <f t="shared" si="7"/>
        <v>5</v>
      </c>
    </row>
    <row r="257" spans="1:24" x14ac:dyDescent="0.25">
      <c r="A257" s="3" t="s">
        <v>506</v>
      </c>
      <c r="B257" s="3" t="s">
        <v>507</v>
      </c>
      <c r="C257" s="3" t="s">
        <v>31</v>
      </c>
      <c r="D257" s="2" t="str">
        <f>PROPER('RAW DATA'!D257)</f>
        <v>David Habimana</v>
      </c>
      <c r="E257" s="3" t="s">
        <v>33</v>
      </c>
      <c r="F257" s="3" t="s">
        <v>34</v>
      </c>
      <c r="G257" s="3" t="s">
        <v>43</v>
      </c>
      <c r="H257" s="3" t="s">
        <v>65</v>
      </c>
      <c r="I257" s="5">
        <f>IFERROR(IF('RAW DATA'!I257="",AVERAGE('RAW DATA'!I$2:I$301),'RAW DATA'!I257),0)</f>
        <v>9.4</v>
      </c>
      <c r="J257" s="3">
        <v>7.2</v>
      </c>
      <c r="K257" s="3" t="s">
        <v>24</v>
      </c>
      <c r="L257" s="2">
        <f>IFERROR(IF('RAW DATA'!L257="",3,'RAW DATA'!L257),3)</f>
        <v>5</v>
      </c>
      <c r="M257" s="3" t="s">
        <v>90</v>
      </c>
      <c r="N257" s="3" t="s">
        <v>26</v>
      </c>
      <c r="O257" s="3">
        <v>0</v>
      </c>
      <c r="P257" s="3" t="s">
        <v>27</v>
      </c>
      <c r="Q257" s="10" t="s">
        <v>36</v>
      </c>
      <c r="R257" s="3" t="str">
        <f>IFERROR(TEXT('RAW DATA'!B257,"MMMM"),"UKNNOWN")</f>
        <v>December</v>
      </c>
      <c r="S257" s="5">
        <f>IFERROR(MONTH('RAW DATA'!B257),0)</f>
        <v>12</v>
      </c>
      <c r="T257" s="3" t="str">
        <f t="shared" si="6"/>
        <v>Q4</v>
      </c>
      <c r="U257" s="3" t="str">
        <f>IF('RAW DATA'!I257&gt;20,"High",IF('RAW DATA'!I257&gt;10,"Medium","Low"))</f>
        <v>Low</v>
      </c>
      <c r="V257" s="3" t="str">
        <f>IF('RAW DATA'!B257="","Yes","No")</f>
        <v>No</v>
      </c>
      <c r="W257" s="2" t="str">
        <f>IF(COUNTIF(A$2:A556,A257)&gt;1,"Duplicate","OK")</f>
        <v>OK</v>
      </c>
      <c r="X257">
        <f t="shared" si="7"/>
        <v>5</v>
      </c>
    </row>
    <row r="258" spans="1:24" x14ac:dyDescent="0.25">
      <c r="A258" s="2" t="s">
        <v>508</v>
      </c>
      <c r="B258" s="2" t="s">
        <v>509</v>
      </c>
      <c r="C258" s="2" t="s">
        <v>31</v>
      </c>
      <c r="D258" s="2" t="str">
        <f>PROPER('RAW DATA'!D258)</f>
        <v>David Habimana</v>
      </c>
      <c r="E258" s="2" t="s">
        <v>33</v>
      </c>
      <c r="F258" s="2" t="s">
        <v>34</v>
      </c>
      <c r="G258" s="2" t="s">
        <v>22</v>
      </c>
      <c r="H258" s="2" t="s">
        <v>44</v>
      </c>
      <c r="I258" s="5">
        <f>IFERROR(IF('RAW DATA'!I258="",AVERAGE('RAW DATA'!I$2:I$301),'RAW DATA'!I258),0)</f>
        <v>5.7</v>
      </c>
      <c r="J258" s="2">
        <v>4.4000000000000004</v>
      </c>
      <c r="K258" s="2" t="s">
        <v>24</v>
      </c>
      <c r="L258" s="2">
        <f>IFERROR(IF('RAW DATA'!L258="",3,'RAW DATA'!L258),3)</f>
        <v>5</v>
      </c>
      <c r="M258" s="2" t="s">
        <v>51</v>
      </c>
      <c r="N258" s="2" t="s">
        <v>26</v>
      </c>
      <c r="O258" s="2">
        <v>1</v>
      </c>
      <c r="P258" s="2" t="s">
        <v>27</v>
      </c>
      <c r="Q258" s="9" t="s">
        <v>36</v>
      </c>
      <c r="R258" s="2" t="str">
        <f>IFERROR(TEXT('RAW DATA'!B258,"MMMM"),"UKNNOWN")</f>
        <v>June</v>
      </c>
      <c r="S258" s="5">
        <f>IFERROR(MONTH('RAW DATA'!B258),0)</f>
        <v>6</v>
      </c>
      <c r="T258" s="2" t="str">
        <f t="shared" si="6"/>
        <v>Q2</v>
      </c>
      <c r="U258" s="2" t="str">
        <f>IF('RAW DATA'!I258&gt;20,"High",IF('RAW DATA'!I258&gt;10,"Medium","Low"))</f>
        <v>Low</v>
      </c>
      <c r="V258" s="2" t="str">
        <f>IF('RAW DATA'!B258="","Yes","No")</f>
        <v>No</v>
      </c>
      <c r="W258" s="2" t="str">
        <f>IF(COUNTIF(A$2:A557,A258)&gt;1,"Duplicate","OK")</f>
        <v>OK</v>
      </c>
      <c r="X258">
        <f t="shared" si="7"/>
        <v>5</v>
      </c>
    </row>
    <row r="259" spans="1:24" x14ac:dyDescent="0.25">
      <c r="A259" s="3" t="s">
        <v>510</v>
      </c>
      <c r="B259" s="3" t="s">
        <v>298</v>
      </c>
      <c r="C259" s="3" t="s">
        <v>49</v>
      </c>
      <c r="D259" s="2" t="str">
        <f>PROPER('RAW DATA'!D259)</f>
        <v>Frank Nzeyimana</v>
      </c>
      <c r="E259" s="3" t="s">
        <v>41</v>
      </c>
      <c r="F259" s="3" t="s">
        <v>42</v>
      </c>
      <c r="G259" s="3" t="s">
        <v>43</v>
      </c>
      <c r="H259" s="3" t="s">
        <v>58</v>
      </c>
      <c r="I259" s="5">
        <f>IFERROR(IF('RAW DATA'!I259="",AVERAGE('RAW DATA'!I$2:I$301),'RAW DATA'!I259),0)</f>
        <v>6</v>
      </c>
      <c r="J259" s="3">
        <v>5.8</v>
      </c>
      <c r="K259" s="3" t="s">
        <v>26</v>
      </c>
      <c r="L259" s="2">
        <f>IFERROR(IF('RAW DATA'!L259="",3,'RAW DATA'!L259),3)</f>
        <v>3</v>
      </c>
      <c r="M259" s="3" t="s">
        <v>81</v>
      </c>
      <c r="N259" s="3" t="s">
        <v>26</v>
      </c>
      <c r="O259" s="3">
        <v>0</v>
      </c>
      <c r="P259" s="3" t="s">
        <v>13</v>
      </c>
      <c r="Q259" s="10" t="s">
        <v>53</v>
      </c>
      <c r="R259" s="3" t="str">
        <f>IFERROR(TEXT('RAW DATA'!B259,"MMMM"),"UKNNOWN")</f>
        <v>February</v>
      </c>
      <c r="S259" s="5">
        <f>IFERROR(MONTH('RAW DATA'!B259),0)</f>
        <v>2</v>
      </c>
      <c r="T259" s="3" t="str">
        <f t="shared" ref="T259:T301" si="8">IF(S259&lt;=3,"Q1",IF(S259&lt;=6,"Q2",IF(S259&lt;=9,"Q3","Q4")))</f>
        <v>Q1</v>
      </c>
      <c r="U259" s="3" t="str">
        <f>IF('RAW DATA'!I259&gt;20,"High",IF('RAW DATA'!I259&gt;10,"Medium","Low"))</f>
        <v>Low</v>
      </c>
      <c r="V259" s="3" t="str">
        <f>IF('RAW DATA'!B259="","Yes","No")</f>
        <v>No</v>
      </c>
      <c r="W259" s="2" t="str">
        <f>IF(COUNTIF(A$2:A558,A259)&gt;1,"Duplicate","OK")</f>
        <v>OK</v>
      </c>
      <c r="X259">
        <f t="shared" ref="X259:X301" si="9">IFERROR(L259,L260)</f>
        <v>3</v>
      </c>
    </row>
    <row r="260" spans="1:24" x14ac:dyDescent="0.25">
      <c r="A260" s="2" t="s">
        <v>511</v>
      </c>
      <c r="B260" s="2" t="s">
        <v>512</v>
      </c>
      <c r="C260" s="2" t="s">
        <v>18</v>
      </c>
      <c r="D260" s="2" t="str">
        <f>PROPER('RAW DATA'!D260)</f>
        <v>Bob Nshimiyimana</v>
      </c>
      <c r="E260" s="2" t="s">
        <v>20</v>
      </c>
      <c r="F260" s="2" t="s">
        <v>21</v>
      </c>
      <c r="G260" s="2" t="s">
        <v>43</v>
      </c>
      <c r="H260" s="2" t="s">
        <v>44</v>
      </c>
      <c r="I260" s="5">
        <f>IFERROR(IF('RAW DATA'!I260="",AVERAGE('RAW DATA'!I$2:I$301),'RAW DATA'!I260),0)</f>
        <v>9.9</v>
      </c>
      <c r="J260" s="2">
        <v>6.8</v>
      </c>
      <c r="K260" s="2" t="s">
        <v>24</v>
      </c>
      <c r="L260" s="2">
        <f>IFERROR(IF('RAW DATA'!L260="",3,'RAW DATA'!L260),3)</f>
        <v>4</v>
      </c>
      <c r="M260" s="2" t="s">
        <v>59</v>
      </c>
      <c r="N260" s="2" t="s">
        <v>26</v>
      </c>
      <c r="O260" s="2">
        <v>1</v>
      </c>
      <c r="P260" s="2" t="s">
        <v>27</v>
      </c>
      <c r="Q260" s="9" t="s">
        <v>28</v>
      </c>
      <c r="R260" s="2" t="str">
        <f>IFERROR(TEXT('RAW DATA'!B260,"MMMM"),"UKNNOWN")</f>
        <v>June</v>
      </c>
      <c r="S260" s="5">
        <f>IFERROR(MONTH('RAW DATA'!B260),0)</f>
        <v>6</v>
      </c>
      <c r="T260" s="2" t="str">
        <f t="shared" si="8"/>
        <v>Q2</v>
      </c>
      <c r="U260" s="2" t="str">
        <f>IF('RAW DATA'!I260&gt;20,"High",IF('RAW DATA'!I260&gt;10,"Medium","Low"))</f>
        <v>Low</v>
      </c>
      <c r="V260" s="2" t="str">
        <f>IF('RAW DATA'!B260="","Yes","No")</f>
        <v>No</v>
      </c>
      <c r="W260" s="2" t="str">
        <f>IF(COUNTIF(A$2:A559,A260)&gt;1,"Duplicate","OK")</f>
        <v>OK</v>
      </c>
      <c r="X260">
        <f t="shared" si="9"/>
        <v>4</v>
      </c>
    </row>
    <row r="261" spans="1:24" x14ac:dyDescent="0.25">
      <c r="A261" s="3" t="s">
        <v>513</v>
      </c>
      <c r="B261" s="3" t="s">
        <v>514</v>
      </c>
      <c r="C261" s="3" t="s">
        <v>63</v>
      </c>
      <c r="D261" s="2" t="str">
        <f>PROPER('RAW DATA'!D261)</f>
        <v>Henry Bizimana</v>
      </c>
      <c r="E261" s="3" t="s">
        <v>33</v>
      </c>
      <c r="F261" s="3" t="s">
        <v>34</v>
      </c>
      <c r="G261" s="3" t="s">
        <v>43</v>
      </c>
      <c r="H261" s="3" t="s">
        <v>95</v>
      </c>
      <c r="I261" s="5">
        <f>IFERROR(IF('RAW DATA'!I261="",AVERAGE('RAW DATA'!I$2:I$301),'RAW DATA'!I261),0)</f>
        <v>5</v>
      </c>
      <c r="J261" s="3">
        <v>1.7</v>
      </c>
      <c r="K261" s="3" t="s">
        <v>24</v>
      </c>
      <c r="L261" s="2">
        <f>IFERROR(IF('RAW DATA'!L261="",3,'RAW DATA'!L261),3)</f>
        <v>5</v>
      </c>
      <c r="M261" s="3" t="s">
        <v>90</v>
      </c>
      <c r="N261" s="3" t="s">
        <v>26</v>
      </c>
      <c r="O261" s="3">
        <v>0</v>
      </c>
      <c r="P261" s="3" t="s">
        <v>27</v>
      </c>
      <c r="Q261" s="10" t="s">
        <v>67</v>
      </c>
      <c r="R261" s="3" t="str">
        <f>IFERROR(TEXT('RAW DATA'!B261,"MMMM"),"UKNNOWN")</f>
        <v>April</v>
      </c>
      <c r="S261" s="5">
        <f>IFERROR(MONTH('RAW DATA'!B261),0)</f>
        <v>4</v>
      </c>
      <c r="T261" s="3" t="str">
        <f t="shared" si="8"/>
        <v>Q2</v>
      </c>
      <c r="U261" s="3" t="str">
        <f>IF('RAW DATA'!I261&gt;20,"High",IF('RAW DATA'!I261&gt;10,"Medium","Low"))</f>
        <v>Low</v>
      </c>
      <c r="V261" s="3" t="str">
        <f>IF('RAW DATA'!B261="","Yes","No")</f>
        <v>No</v>
      </c>
      <c r="W261" s="2" t="str">
        <f>IF(COUNTIF(A$2:A560,A261)&gt;1,"Duplicate","OK")</f>
        <v>OK</v>
      </c>
      <c r="X261">
        <f t="shared" si="9"/>
        <v>5</v>
      </c>
    </row>
    <row r="262" spans="1:24" x14ac:dyDescent="0.25">
      <c r="A262" s="2" t="s">
        <v>515</v>
      </c>
      <c r="B262" s="2" t="s">
        <v>369</v>
      </c>
      <c r="C262" s="2" t="s">
        <v>70</v>
      </c>
      <c r="D262" s="2" t="str">
        <f>PROPER('RAW DATA'!D262)</f>
        <v>Claire Mukamana</v>
      </c>
      <c r="E262" s="2" t="s">
        <v>33</v>
      </c>
      <c r="F262" s="2" t="s">
        <v>34</v>
      </c>
      <c r="G262" s="2" t="s">
        <v>43</v>
      </c>
      <c r="H262" s="2" t="s">
        <v>72</v>
      </c>
      <c r="I262" s="5">
        <f>IFERROR(IF('RAW DATA'!I262="",AVERAGE('RAW DATA'!I$2:I$301),'RAW DATA'!I262),0)</f>
        <v>6.7</v>
      </c>
      <c r="J262" s="2">
        <v>6</v>
      </c>
      <c r="K262" s="2" t="s">
        <v>26</v>
      </c>
      <c r="L262" s="2">
        <f>IFERROR(IF('RAW DATA'!L262="",3,'RAW DATA'!L262),3)</f>
        <v>2</v>
      </c>
      <c r="M262" s="2" t="s">
        <v>59</v>
      </c>
      <c r="N262" s="2" t="s">
        <v>24</v>
      </c>
      <c r="O262" s="2">
        <v>0</v>
      </c>
      <c r="P262" s="2" t="s">
        <v>52</v>
      </c>
      <c r="Q262" s="9" t="s">
        <v>73</v>
      </c>
      <c r="R262" s="2" t="str">
        <f>IFERROR(TEXT('RAW DATA'!B262,"MMMM"),"UKNNOWN")</f>
        <v>March</v>
      </c>
      <c r="S262" s="5">
        <f>IFERROR(MONTH('RAW DATA'!B262),0)</f>
        <v>3</v>
      </c>
      <c r="T262" s="2" t="str">
        <f t="shared" si="8"/>
        <v>Q1</v>
      </c>
      <c r="U262" s="2" t="str">
        <f>IF('RAW DATA'!I262&gt;20,"High",IF('RAW DATA'!I262&gt;10,"Medium","Low"))</f>
        <v>Low</v>
      </c>
      <c r="V262" s="2" t="str">
        <f>IF('RAW DATA'!B262="","Yes","No")</f>
        <v>No</v>
      </c>
      <c r="W262" s="2" t="str">
        <f>IF(COUNTIF(A$2:A561,A262)&gt;1,"Duplicate","OK")</f>
        <v>OK</v>
      </c>
      <c r="X262">
        <f t="shared" si="9"/>
        <v>2</v>
      </c>
    </row>
    <row r="263" spans="1:24" x14ac:dyDescent="0.25">
      <c r="A263" s="3" t="s">
        <v>516</v>
      </c>
      <c r="B263" s="3" t="s">
        <v>383</v>
      </c>
      <c r="C263" s="3" t="s">
        <v>85</v>
      </c>
      <c r="D263" s="2" t="str">
        <f>PROPER('RAW DATA'!D263)</f>
        <v>Irene Mutesi</v>
      </c>
      <c r="E263" s="3" t="s">
        <v>20</v>
      </c>
      <c r="F263" s="3" t="s">
        <v>21</v>
      </c>
      <c r="G263" s="3" t="s">
        <v>43</v>
      </c>
      <c r="H263" s="3" t="s">
        <v>58</v>
      </c>
      <c r="I263" s="5">
        <f>IFERROR(IF('RAW DATA'!I263="",AVERAGE('RAW DATA'!I$2:I$301),'RAW DATA'!I263),0)</f>
        <v>6.2</v>
      </c>
      <c r="J263" s="3">
        <v>2.2999999999999998</v>
      </c>
      <c r="K263" s="3" t="s">
        <v>24</v>
      </c>
      <c r="L263" s="2">
        <f>IFERROR(IF('RAW DATA'!L263="",3,'RAW DATA'!L263),3)</f>
        <v>4</v>
      </c>
      <c r="M263" s="3" t="s">
        <v>51</v>
      </c>
      <c r="N263" s="3" t="s">
        <v>26</v>
      </c>
      <c r="O263" s="3">
        <v>1</v>
      </c>
      <c r="P263" s="3" t="s">
        <v>52</v>
      </c>
      <c r="Q263" s="10" t="s">
        <v>87</v>
      </c>
      <c r="R263" s="3" t="str">
        <f>IFERROR(TEXT('RAW DATA'!B263,"MMMM"),"UKNNOWN")</f>
        <v>October</v>
      </c>
      <c r="S263" s="5">
        <f>IFERROR(MONTH('RAW DATA'!B263),0)</f>
        <v>10</v>
      </c>
      <c r="T263" s="3" t="str">
        <f t="shared" si="8"/>
        <v>Q4</v>
      </c>
      <c r="U263" s="3" t="str">
        <f>IF('RAW DATA'!I263&gt;20,"High",IF('RAW DATA'!I263&gt;10,"Medium","Low"))</f>
        <v>Low</v>
      </c>
      <c r="V263" s="3" t="str">
        <f>IF('RAW DATA'!B263="","Yes","No")</f>
        <v>No</v>
      </c>
      <c r="W263" s="2" t="str">
        <f>IF(COUNTIF(A$2:A562,A263)&gt;1,"Duplicate","OK")</f>
        <v>OK</v>
      </c>
      <c r="X263">
        <f t="shared" si="9"/>
        <v>4</v>
      </c>
    </row>
    <row r="264" spans="1:24" x14ac:dyDescent="0.25">
      <c r="A264" s="2" t="s">
        <v>517</v>
      </c>
      <c r="B264" s="2" t="s">
        <v>518</v>
      </c>
      <c r="C264" s="2" t="s">
        <v>31</v>
      </c>
      <c r="D264" s="2" t="str">
        <f>PROPER('RAW DATA'!D264)</f>
        <v>David Habimana</v>
      </c>
      <c r="E264" s="2" t="s">
        <v>33</v>
      </c>
      <c r="F264" s="2" t="s">
        <v>34</v>
      </c>
      <c r="G264" s="2" t="s">
        <v>41</v>
      </c>
      <c r="H264" s="2" t="s">
        <v>95</v>
      </c>
      <c r="I264" s="5">
        <f>IFERROR(IF('RAW DATA'!I264="",AVERAGE('RAW DATA'!I$2:I$301),'RAW DATA'!I264),0)</f>
        <v>7.4</v>
      </c>
      <c r="J264" s="2">
        <v>5.5</v>
      </c>
      <c r="K264" s="2" t="s">
        <v>24</v>
      </c>
      <c r="L264" s="2">
        <f>IFERROR(IF('RAW DATA'!L264="",3,'RAW DATA'!L264),3)</f>
        <v>4</v>
      </c>
      <c r="M264" s="2" t="s">
        <v>51</v>
      </c>
      <c r="N264" s="2" t="s">
        <v>26</v>
      </c>
      <c r="O264" s="2">
        <v>0</v>
      </c>
      <c r="P264" s="2" t="s">
        <v>52</v>
      </c>
      <c r="Q264" s="9" t="s">
        <v>36</v>
      </c>
      <c r="R264" s="3" t="str">
        <f>IFERROR(TEXT('RAW DATA'!B264,"MMMM"),"UKNNOWN")</f>
        <v>January</v>
      </c>
      <c r="S264" s="5">
        <f>IFERROR(MONTH('RAW DATA'!B264),0)</f>
        <v>1</v>
      </c>
      <c r="T264" s="2" t="str">
        <f t="shared" si="8"/>
        <v>Q1</v>
      </c>
      <c r="U264" s="2" t="str">
        <f>IF('RAW DATA'!I264&gt;20,"High",IF('RAW DATA'!I264&gt;10,"Medium","Low"))</f>
        <v>Low</v>
      </c>
      <c r="V264" s="2" t="str">
        <f>IF('RAW DATA'!B264="","Yes","No")</f>
        <v>No</v>
      </c>
      <c r="W264" s="2" t="str">
        <f>IF(COUNTIF(A$2:A563,A264)&gt;1,"Duplicate","OK")</f>
        <v>OK</v>
      </c>
      <c r="X264">
        <f t="shared" si="9"/>
        <v>4</v>
      </c>
    </row>
    <row r="265" spans="1:24" x14ac:dyDescent="0.25">
      <c r="A265" s="3" t="s">
        <v>519</v>
      </c>
      <c r="B265" s="3" t="s">
        <v>149</v>
      </c>
      <c r="C265" s="3" t="s">
        <v>18</v>
      </c>
      <c r="D265" s="2" t="str">
        <f>PROPER('RAW DATA'!D265)</f>
        <v>Bob Nshimiyimana</v>
      </c>
      <c r="E265" s="3" t="s">
        <v>20</v>
      </c>
      <c r="F265" s="3" t="s">
        <v>21</v>
      </c>
      <c r="G265" s="3" t="s">
        <v>43</v>
      </c>
      <c r="H265" s="3" t="s">
        <v>95</v>
      </c>
      <c r="I265" s="5">
        <f>IFERROR(IF('RAW DATA'!I265="",AVERAGE('RAW DATA'!I$2:I$301),'RAW DATA'!I265),0)</f>
        <v>5.9</v>
      </c>
      <c r="J265" s="3">
        <v>3.3</v>
      </c>
      <c r="K265" s="3" t="s">
        <v>24</v>
      </c>
      <c r="L265" s="2">
        <f>IFERROR(IF('RAW DATA'!L265="",3,'RAW DATA'!L265),3)</f>
        <v>4</v>
      </c>
      <c r="M265" s="3" t="s">
        <v>51</v>
      </c>
      <c r="N265" s="3" t="s">
        <v>26</v>
      </c>
      <c r="O265" s="3">
        <v>1</v>
      </c>
      <c r="P265" s="3" t="s">
        <v>27</v>
      </c>
      <c r="Q265" s="10" t="s">
        <v>28</v>
      </c>
      <c r="R265" s="2" t="str">
        <f>IFERROR(TEXT('RAW DATA'!B265,"MMMM"),"UKNNOWN")</f>
        <v>September</v>
      </c>
      <c r="S265" s="5">
        <f>IFERROR(MONTH('RAW DATA'!B265),0)</f>
        <v>9</v>
      </c>
      <c r="T265" s="3" t="str">
        <f t="shared" si="8"/>
        <v>Q3</v>
      </c>
      <c r="U265" s="3" t="str">
        <f>IF('RAW DATA'!I265&gt;20,"High",IF('RAW DATA'!I265&gt;10,"Medium","Low"))</f>
        <v>Low</v>
      </c>
      <c r="V265" s="3" t="str">
        <f>IF('RAW DATA'!B265="","Yes","No")</f>
        <v>No</v>
      </c>
      <c r="W265" s="2" t="str">
        <f>IF(COUNTIF(A$2:A564,A265)&gt;1,"Duplicate","OK")</f>
        <v>OK</v>
      </c>
      <c r="X265">
        <f t="shared" si="9"/>
        <v>4</v>
      </c>
    </row>
    <row r="266" spans="1:24" x14ac:dyDescent="0.25">
      <c r="A266" s="2" t="s">
        <v>520</v>
      </c>
      <c r="B266" s="2" t="s">
        <v>434</v>
      </c>
      <c r="C266" s="2" t="s">
        <v>39</v>
      </c>
      <c r="D266" s="2" t="str">
        <f>PROPER('RAW DATA'!D266)</f>
        <v>Grace Uwase</v>
      </c>
      <c r="E266" s="2" t="s">
        <v>41</v>
      </c>
      <c r="F266" s="2" t="s">
        <v>42</v>
      </c>
      <c r="G266" s="2" t="s">
        <v>43</v>
      </c>
      <c r="H266" s="2" t="s">
        <v>80</v>
      </c>
      <c r="I266" s="5">
        <f>IFERROR(IF('RAW DATA'!I266="",AVERAGE('RAW DATA'!I$2:I$301),'RAW DATA'!I266),0)</f>
        <v>12.5</v>
      </c>
      <c r="J266" s="2">
        <v>6.3</v>
      </c>
      <c r="K266" s="2" t="s">
        <v>26</v>
      </c>
      <c r="L266" s="2">
        <f>IFERROR(IF('RAW DATA'!L266="",3,'RAW DATA'!L266),3)</f>
        <v>5</v>
      </c>
      <c r="M266" s="2" t="s">
        <v>25</v>
      </c>
      <c r="N266" s="2" t="s">
        <v>26</v>
      </c>
      <c r="O266" s="2">
        <v>0</v>
      </c>
      <c r="P266" s="2" t="s">
        <v>52</v>
      </c>
      <c r="Q266" s="9" t="s">
        <v>46</v>
      </c>
      <c r="R266" s="3" t="str">
        <f>IFERROR(TEXT('RAW DATA'!B266,"MMMM"),"UKNNOWN")</f>
        <v>April</v>
      </c>
      <c r="S266" s="5">
        <f>IFERROR(MONTH('RAW DATA'!B266),0)</f>
        <v>4</v>
      </c>
      <c r="T266" s="2" t="str">
        <f t="shared" si="8"/>
        <v>Q2</v>
      </c>
      <c r="U266" s="2" t="str">
        <f>IF('RAW DATA'!I266&gt;20,"High",IF('RAW DATA'!I266&gt;10,"Medium","Low"))</f>
        <v>Medium</v>
      </c>
      <c r="V266" s="2" t="str">
        <f>IF('RAW DATA'!B266="","Yes","No")</f>
        <v>No</v>
      </c>
      <c r="W266" s="2" t="str">
        <f>IF(COUNTIF(A$2:A565,A266)&gt;1,"Duplicate","OK")</f>
        <v>OK</v>
      </c>
      <c r="X266">
        <f t="shared" si="9"/>
        <v>5</v>
      </c>
    </row>
    <row r="267" spans="1:24" x14ac:dyDescent="0.25">
      <c r="A267" s="3" t="s">
        <v>521</v>
      </c>
      <c r="B267" s="3" t="s">
        <v>130</v>
      </c>
      <c r="C267" s="3" t="s">
        <v>18</v>
      </c>
      <c r="D267" s="2" t="str">
        <f>PROPER('RAW DATA'!D267)</f>
        <v>Bob Nshimiyimana</v>
      </c>
      <c r="E267" s="3" t="s">
        <v>20</v>
      </c>
      <c r="F267" s="3" t="s">
        <v>21</v>
      </c>
      <c r="G267" s="3" t="s">
        <v>22</v>
      </c>
      <c r="H267" s="3" t="s">
        <v>65</v>
      </c>
      <c r="I267" s="5">
        <f>IFERROR(IF('RAW DATA'!I267="",AVERAGE('RAW DATA'!I$2:I$301),'RAW DATA'!I267),0)</f>
        <v>8.4</v>
      </c>
      <c r="J267" s="3">
        <v>2.5</v>
      </c>
      <c r="K267" s="3" t="s">
        <v>24</v>
      </c>
      <c r="L267" s="2">
        <f>IFERROR(IF('RAW DATA'!L267="",3,'RAW DATA'!L267),3)</f>
        <v>5</v>
      </c>
      <c r="M267" s="3" t="s">
        <v>51</v>
      </c>
      <c r="N267" s="3" t="s">
        <v>26</v>
      </c>
      <c r="O267" s="3">
        <v>1</v>
      </c>
      <c r="P267" s="3" t="s">
        <v>27</v>
      </c>
      <c r="Q267" s="10" t="s">
        <v>28</v>
      </c>
      <c r="R267" s="2" t="str">
        <f>IFERROR(TEXT('RAW DATA'!B267,"MMMM"),"UKNNOWN")</f>
        <v>August</v>
      </c>
      <c r="S267" s="5">
        <f>IFERROR(MONTH('RAW DATA'!B267),0)</f>
        <v>8</v>
      </c>
      <c r="T267" s="3" t="str">
        <f t="shared" si="8"/>
        <v>Q3</v>
      </c>
      <c r="U267" s="3" t="str">
        <f>IF('RAW DATA'!I267&gt;20,"High",IF('RAW DATA'!I267&gt;10,"Medium","Low"))</f>
        <v>Low</v>
      </c>
      <c r="V267" s="3" t="str">
        <f>IF('RAW DATA'!B267="","Yes","No")</f>
        <v>No</v>
      </c>
      <c r="W267" s="2" t="str">
        <f>IF(COUNTIF(A$2:A566,A267)&gt;1,"Duplicate","OK")</f>
        <v>OK</v>
      </c>
      <c r="X267">
        <f t="shared" si="9"/>
        <v>5</v>
      </c>
    </row>
    <row r="268" spans="1:24" x14ac:dyDescent="0.25">
      <c r="A268" s="2" t="s">
        <v>522</v>
      </c>
      <c r="B268" s="2" t="s">
        <v>369</v>
      </c>
      <c r="C268" s="2" t="s">
        <v>31</v>
      </c>
      <c r="D268" s="2" t="str">
        <f>PROPER('RAW DATA'!D268)</f>
        <v>David Habimana</v>
      </c>
      <c r="E268" s="2" t="s">
        <v>33</v>
      </c>
      <c r="F268" s="2" t="s">
        <v>34</v>
      </c>
      <c r="G268" s="2" t="s">
        <v>41</v>
      </c>
      <c r="H268" s="2" t="s">
        <v>65</v>
      </c>
      <c r="I268" s="5">
        <f>IFERROR(IF('RAW DATA'!I268="",AVERAGE('RAW DATA'!I$2:I$301),'RAW DATA'!I268),0)</f>
        <v>10.1</v>
      </c>
      <c r="J268" s="2">
        <v>0.7</v>
      </c>
      <c r="K268" s="2" t="s">
        <v>24</v>
      </c>
      <c r="L268" s="2">
        <f>IFERROR(IF('RAW DATA'!L268="",3,'RAW DATA'!L268),3)</f>
        <v>4</v>
      </c>
      <c r="M268" s="2" t="s">
        <v>90</v>
      </c>
      <c r="N268" s="2" t="s">
        <v>26</v>
      </c>
      <c r="O268" s="2">
        <v>1</v>
      </c>
      <c r="P268" s="2" t="s">
        <v>27</v>
      </c>
      <c r="Q268" s="9" t="s">
        <v>36</v>
      </c>
      <c r="R268" s="3" t="str">
        <f>IFERROR(TEXT('RAW DATA'!B268,"MMMM"),"UKNNOWN")</f>
        <v>March</v>
      </c>
      <c r="S268" s="5">
        <f>IFERROR(MONTH('RAW DATA'!B268),0)</f>
        <v>3</v>
      </c>
      <c r="T268" s="2" t="str">
        <f t="shared" si="8"/>
        <v>Q1</v>
      </c>
      <c r="U268" s="2" t="str">
        <f>IF('RAW DATA'!I268&gt;20,"High",IF('RAW DATA'!I268&gt;10,"Medium","Low"))</f>
        <v>Medium</v>
      </c>
      <c r="V268" s="2" t="str">
        <f>IF('RAW DATA'!B268="","Yes","No")</f>
        <v>No</v>
      </c>
      <c r="W268" s="2" t="str">
        <f>IF(COUNTIF(A$2:A567,A268)&gt;1,"Duplicate","OK")</f>
        <v>OK</v>
      </c>
      <c r="X268">
        <f t="shared" si="9"/>
        <v>4</v>
      </c>
    </row>
    <row r="269" spans="1:24" x14ac:dyDescent="0.25">
      <c r="A269" s="3" t="s">
        <v>523</v>
      </c>
      <c r="B269" s="3" t="s">
        <v>507</v>
      </c>
      <c r="C269" s="3" t="s">
        <v>78</v>
      </c>
      <c r="D269" s="2" t="str">
        <f>PROPER('RAW DATA'!D269)</f>
        <v>Eve Ingabire</v>
      </c>
      <c r="E269" s="3" t="s">
        <v>20</v>
      </c>
      <c r="F269" s="3" t="s">
        <v>21</v>
      </c>
      <c r="G269" s="3" t="s">
        <v>22</v>
      </c>
      <c r="H269" s="3" t="s">
        <v>23</v>
      </c>
      <c r="I269" s="5">
        <f>IFERROR(IF('RAW DATA'!I269="",AVERAGE('RAW DATA'!I$2:I$301),'RAW DATA'!I269),0)</f>
        <v>7.4</v>
      </c>
      <c r="J269" s="3">
        <v>5.5</v>
      </c>
      <c r="K269" s="3" t="s">
        <v>24</v>
      </c>
      <c r="L269" s="2">
        <f>IFERROR(IF('RAW DATA'!L269="",3,'RAW DATA'!L269),3)</f>
        <v>5</v>
      </c>
      <c r="M269" s="3" t="s">
        <v>90</v>
      </c>
      <c r="N269" s="3" t="s">
        <v>26</v>
      </c>
      <c r="O269" s="3">
        <v>0</v>
      </c>
      <c r="P269" s="3" t="s">
        <v>13</v>
      </c>
      <c r="Q269" s="10" t="s">
        <v>82</v>
      </c>
      <c r="R269" s="2" t="str">
        <f>IFERROR(TEXT('RAW DATA'!B269,"MMMM"),"UKNNOWN")</f>
        <v>December</v>
      </c>
      <c r="S269" s="5">
        <f>IFERROR(MONTH('RAW DATA'!B269),0)</f>
        <v>12</v>
      </c>
      <c r="T269" s="3" t="str">
        <f t="shared" si="8"/>
        <v>Q4</v>
      </c>
      <c r="U269" s="3" t="str">
        <f>IF('RAW DATA'!I269&gt;20,"High",IF('RAW DATA'!I269&gt;10,"Medium","Low"))</f>
        <v>Low</v>
      </c>
      <c r="V269" s="3" t="str">
        <f>IF('RAW DATA'!B269="","Yes","No")</f>
        <v>No</v>
      </c>
      <c r="W269" s="2" t="str">
        <f>IF(COUNTIF(A$2:A568,A269)&gt;1,"Duplicate","OK")</f>
        <v>OK</v>
      </c>
      <c r="X269">
        <f t="shared" si="9"/>
        <v>5</v>
      </c>
    </row>
    <row r="270" spans="1:24" x14ac:dyDescent="0.25">
      <c r="A270" s="2" t="s">
        <v>524</v>
      </c>
      <c r="B270" s="2" t="s">
        <v>525</v>
      </c>
      <c r="C270" s="2" t="s">
        <v>70</v>
      </c>
      <c r="D270" s="2" t="str">
        <f>PROPER('RAW DATA'!D270)</f>
        <v>Claire Mukamana</v>
      </c>
      <c r="E270" s="2" t="s">
        <v>33</v>
      </c>
      <c r="F270" s="2" t="s">
        <v>34</v>
      </c>
      <c r="G270" s="2" t="s">
        <v>43</v>
      </c>
      <c r="H270" s="2" t="s">
        <v>35</v>
      </c>
      <c r="I270" s="5">
        <f>IFERROR(IF('RAW DATA'!I270="",AVERAGE('RAW DATA'!I$2:I$301),'RAW DATA'!I270),0)</f>
        <v>7.5</v>
      </c>
      <c r="J270" s="2">
        <v>3</v>
      </c>
      <c r="K270" s="2" t="s">
        <v>26</v>
      </c>
      <c r="L270" s="2">
        <f>IFERROR(IF('RAW DATA'!L270="",3,'RAW DATA'!L270),3)</f>
        <v>3</v>
      </c>
      <c r="M270" s="2" t="s">
        <v>59</v>
      </c>
      <c r="N270" s="2" t="s">
        <v>26</v>
      </c>
      <c r="O270" s="2">
        <v>1</v>
      </c>
      <c r="P270" s="2" t="s">
        <v>52</v>
      </c>
      <c r="Q270" s="9" t="s">
        <v>73</v>
      </c>
      <c r="R270" s="3" t="str">
        <f>IFERROR(TEXT('RAW DATA'!B270,"MMMM"),"UKNNOWN")</f>
        <v>December</v>
      </c>
      <c r="S270" s="5">
        <f>IFERROR(MONTH('RAW DATA'!B270),0)</f>
        <v>12</v>
      </c>
      <c r="T270" s="2" t="str">
        <f t="shared" si="8"/>
        <v>Q4</v>
      </c>
      <c r="U270" s="2" t="str">
        <f>IF('RAW DATA'!I270&gt;20,"High",IF('RAW DATA'!I270&gt;10,"Medium","Low"))</f>
        <v>Low</v>
      </c>
      <c r="V270" s="2" t="str">
        <f>IF('RAW DATA'!B270="","Yes","No")</f>
        <v>No</v>
      </c>
      <c r="W270" s="2" t="str">
        <f>IF(COUNTIF(A$2:A569,A270)&gt;1,"Duplicate","OK")</f>
        <v>OK</v>
      </c>
      <c r="X270">
        <f t="shared" si="9"/>
        <v>3</v>
      </c>
    </row>
    <row r="271" spans="1:24" x14ac:dyDescent="0.25">
      <c r="A271" s="3" t="s">
        <v>526</v>
      </c>
      <c r="B271" s="3" t="s">
        <v>327</v>
      </c>
      <c r="C271" s="3" t="s">
        <v>63</v>
      </c>
      <c r="D271" s="2" t="str">
        <f>PROPER('RAW DATA'!D271)</f>
        <v>Henry Bizimana</v>
      </c>
      <c r="E271" s="3" t="s">
        <v>33</v>
      </c>
      <c r="F271" s="3" t="s">
        <v>34</v>
      </c>
      <c r="G271" s="3" t="s">
        <v>22</v>
      </c>
      <c r="H271" s="3" t="s">
        <v>95</v>
      </c>
      <c r="I271" s="5">
        <f>IFERROR(IF('RAW DATA'!I271="",AVERAGE('RAW DATA'!I$2:I$301),'RAW DATA'!I271),0)</f>
        <v>12.7</v>
      </c>
      <c r="J271" s="3">
        <v>5.6</v>
      </c>
      <c r="K271" s="3" t="s">
        <v>26</v>
      </c>
      <c r="L271" s="2">
        <f>IFERROR(IF('RAW DATA'!L271="",3,'RAW DATA'!L271),3)</f>
        <v>5</v>
      </c>
      <c r="M271" s="3" t="s">
        <v>90</v>
      </c>
      <c r="N271" s="3" t="s">
        <v>26</v>
      </c>
      <c r="O271" s="3">
        <v>1</v>
      </c>
      <c r="P271" s="3" t="s">
        <v>66</v>
      </c>
      <c r="Q271" s="10" t="s">
        <v>67</v>
      </c>
      <c r="R271" s="2" t="str">
        <f>IFERROR(TEXT('RAW DATA'!B271,"MMMM"),"UKNNOWN")</f>
        <v>July</v>
      </c>
      <c r="S271" s="5">
        <f>IFERROR(MONTH('RAW DATA'!B271),0)</f>
        <v>7</v>
      </c>
      <c r="T271" s="3" t="str">
        <f t="shared" si="8"/>
        <v>Q3</v>
      </c>
      <c r="U271" s="3" t="str">
        <f>IF('RAW DATA'!I271&gt;20,"High",IF('RAW DATA'!I271&gt;10,"Medium","Low"))</f>
        <v>Medium</v>
      </c>
      <c r="V271" s="3" t="str">
        <f>IF('RAW DATA'!B271="","Yes","No")</f>
        <v>No</v>
      </c>
      <c r="W271" s="2" t="str">
        <f>IF(COUNTIF(A$2:A570,A271)&gt;1,"Duplicate","OK")</f>
        <v>OK</v>
      </c>
      <c r="X271">
        <f t="shared" si="9"/>
        <v>5</v>
      </c>
    </row>
    <row r="272" spans="1:24" x14ac:dyDescent="0.25">
      <c r="A272" s="2" t="s">
        <v>527</v>
      </c>
      <c r="B272" s="2" t="s">
        <v>528</v>
      </c>
      <c r="C272" s="2" t="s">
        <v>105</v>
      </c>
      <c r="D272" s="2" t="str">
        <f>PROPER('RAW DATA'!D272)</f>
        <v>Alice Uwimana</v>
      </c>
      <c r="E272" s="2" t="s">
        <v>20</v>
      </c>
      <c r="F272" s="2" t="s">
        <v>21</v>
      </c>
      <c r="G272" s="2" t="s">
        <v>41</v>
      </c>
      <c r="H272" s="2" t="s">
        <v>44</v>
      </c>
      <c r="I272" s="5">
        <f>IFERROR(IF('RAW DATA'!I272="",AVERAGE('RAW DATA'!I$2:I$301),'RAW DATA'!I272),0)</f>
        <v>12</v>
      </c>
      <c r="J272" s="2">
        <v>1.2</v>
      </c>
      <c r="K272" s="2" t="s">
        <v>26</v>
      </c>
      <c r="L272" s="2">
        <f>IFERROR(IF('RAW DATA'!L272="",3,'RAW DATA'!L272),3)</f>
        <v>2</v>
      </c>
      <c r="M272" s="2" t="s">
        <v>81</v>
      </c>
      <c r="N272" s="2" t="s">
        <v>26</v>
      </c>
      <c r="O272" s="2">
        <v>1</v>
      </c>
      <c r="P272" s="2" t="s">
        <v>45</v>
      </c>
      <c r="Q272" s="9" t="s">
        <v>107</v>
      </c>
      <c r="R272" s="3" t="str">
        <f>IFERROR(TEXT('RAW DATA'!B272,"MMMM"),"UKNNOWN")</f>
        <v>October</v>
      </c>
      <c r="S272" s="5">
        <f>IFERROR(MONTH('RAW DATA'!B272),0)</f>
        <v>10</v>
      </c>
      <c r="T272" s="2" t="str">
        <f t="shared" si="8"/>
        <v>Q4</v>
      </c>
      <c r="U272" s="2" t="str">
        <f>IF('RAW DATA'!I272&gt;20,"High",IF('RAW DATA'!I272&gt;10,"Medium","Low"))</f>
        <v>Medium</v>
      </c>
      <c r="V272" s="2" t="str">
        <f>IF('RAW DATA'!B272="","Yes","No")</f>
        <v>No</v>
      </c>
      <c r="W272" s="2" t="str">
        <f>IF(COUNTIF(A$2:A571,A272)&gt;1,"Duplicate","OK")</f>
        <v>OK</v>
      </c>
      <c r="X272">
        <f t="shared" si="9"/>
        <v>2</v>
      </c>
    </row>
    <row r="273" spans="1:24" x14ac:dyDescent="0.25">
      <c r="A273" s="3" t="s">
        <v>529</v>
      </c>
      <c r="B273" s="3" t="s">
        <v>530</v>
      </c>
      <c r="C273" s="3" t="s">
        <v>31</v>
      </c>
      <c r="D273" s="2" t="str">
        <f>PROPER('RAW DATA'!D273)</f>
        <v>David Habimana</v>
      </c>
      <c r="E273" s="3" t="s">
        <v>33</v>
      </c>
      <c r="F273" s="3" t="s">
        <v>34</v>
      </c>
      <c r="G273" s="3" t="s">
        <v>22</v>
      </c>
      <c r="H273" s="3" t="s">
        <v>80</v>
      </c>
      <c r="I273" s="5">
        <f>IFERROR(IF('RAW DATA'!I273="",AVERAGE('RAW DATA'!I$2:I$301),'RAW DATA'!I273),0)</f>
        <v>5.4</v>
      </c>
      <c r="J273" s="3">
        <v>4.0999999999999996</v>
      </c>
      <c r="K273" s="3" t="s">
        <v>24</v>
      </c>
      <c r="L273" s="2">
        <f>IFERROR(IF('RAW DATA'!L273="",3,'RAW DATA'!L273),3)</f>
        <v>4</v>
      </c>
      <c r="M273" s="3" t="s">
        <v>25</v>
      </c>
      <c r="N273" s="3" t="s">
        <v>26</v>
      </c>
      <c r="O273" s="3">
        <v>0</v>
      </c>
      <c r="P273" s="3" t="s">
        <v>27</v>
      </c>
      <c r="Q273" s="10" t="s">
        <v>36</v>
      </c>
      <c r="R273" s="2" t="str">
        <f>IFERROR(TEXT('RAW DATA'!B273,"MMMM"),"UKNNOWN")</f>
        <v>August</v>
      </c>
      <c r="S273" s="5">
        <f>IFERROR(MONTH('RAW DATA'!B273),0)</f>
        <v>8</v>
      </c>
      <c r="T273" s="3" t="str">
        <f t="shared" si="8"/>
        <v>Q3</v>
      </c>
      <c r="U273" s="3" t="str">
        <f>IF('RAW DATA'!I273&gt;20,"High",IF('RAW DATA'!I273&gt;10,"Medium","Low"))</f>
        <v>Low</v>
      </c>
      <c r="V273" s="3" t="str">
        <f>IF('RAW DATA'!B273="","Yes","No")</f>
        <v>No</v>
      </c>
      <c r="W273" s="2" t="str">
        <f>IF(COUNTIF(A$2:A572,A273)&gt;1,"Duplicate","OK")</f>
        <v>OK</v>
      </c>
      <c r="X273">
        <f t="shared" si="9"/>
        <v>4</v>
      </c>
    </row>
    <row r="274" spans="1:24" x14ac:dyDescent="0.25">
      <c r="A274" s="2" t="s">
        <v>531</v>
      </c>
      <c r="B274" s="2" t="s">
        <v>532</v>
      </c>
      <c r="C274" s="2" t="s">
        <v>18</v>
      </c>
      <c r="D274" s="2" t="str">
        <f>PROPER('RAW DATA'!D274)</f>
        <v>Bob Nshimiyimana</v>
      </c>
      <c r="E274" s="2" t="s">
        <v>20</v>
      </c>
      <c r="F274" s="2" t="s">
        <v>21</v>
      </c>
      <c r="G274" s="2" t="s">
        <v>22</v>
      </c>
      <c r="H274" s="2" t="s">
        <v>23</v>
      </c>
      <c r="I274" s="5">
        <f>IFERROR(IF('RAW DATA'!I274="",AVERAGE('RAW DATA'!I$2:I$301),'RAW DATA'!I274),0)</f>
        <v>4</v>
      </c>
      <c r="J274" s="2">
        <v>1.3</v>
      </c>
      <c r="K274" s="2" t="s">
        <v>26</v>
      </c>
      <c r="L274" s="2">
        <f>IFERROR(IF('RAW DATA'!L274="",3,'RAW DATA'!L274),3)</f>
        <v>1</v>
      </c>
      <c r="M274" s="2" t="s">
        <v>59</v>
      </c>
      <c r="N274" s="2" t="s">
        <v>26</v>
      </c>
      <c r="O274" s="2">
        <v>0</v>
      </c>
      <c r="P274" s="2" t="s">
        <v>52</v>
      </c>
      <c r="Q274" s="9" t="s">
        <v>28</v>
      </c>
      <c r="R274" s="3" t="str">
        <f>IFERROR(TEXT('RAW DATA'!B274,"MMMM"),"UKNNOWN")</f>
        <v>January</v>
      </c>
      <c r="S274" s="5">
        <f>IFERROR(MONTH('RAW DATA'!B274),0)</f>
        <v>1</v>
      </c>
      <c r="T274" s="2" t="str">
        <f t="shared" si="8"/>
        <v>Q1</v>
      </c>
      <c r="U274" s="2" t="str">
        <f>IF('RAW DATA'!I274&gt;20,"High",IF('RAW DATA'!I274&gt;10,"Medium","Low"))</f>
        <v>Low</v>
      </c>
      <c r="V274" s="2" t="str">
        <f>IF('RAW DATA'!B274="","Yes","No")</f>
        <v>No</v>
      </c>
      <c r="W274" s="2" t="str">
        <f>IF(COUNTIF(A$2:A573,A274)&gt;1,"Duplicate","OK")</f>
        <v>OK</v>
      </c>
      <c r="X274">
        <f t="shared" si="9"/>
        <v>1</v>
      </c>
    </row>
    <row r="275" spans="1:24" x14ac:dyDescent="0.25">
      <c r="A275" s="3" t="s">
        <v>533</v>
      </c>
      <c r="B275" s="3" t="s">
        <v>534</v>
      </c>
      <c r="C275" s="3" t="s">
        <v>70</v>
      </c>
      <c r="D275" s="2" t="str">
        <f>PROPER('RAW DATA'!D275)</f>
        <v>Claire Mukamana</v>
      </c>
      <c r="E275" s="3" t="s">
        <v>33</v>
      </c>
      <c r="F275" s="3" t="s">
        <v>34</v>
      </c>
      <c r="G275" s="3" t="s">
        <v>43</v>
      </c>
      <c r="H275" s="3" t="s">
        <v>35</v>
      </c>
      <c r="I275" s="5">
        <f>IFERROR(IF('RAW DATA'!I275="",AVERAGE('RAW DATA'!I$2:I$301),'RAW DATA'!I275),0)</f>
        <v>9.9</v>
      </c>
      <c r="J275" s="3">
        <v>2.9</v>
      </c>
      <c r="K275" s="3" t="s">
        <v>24</v>
      </c>
      <c r="L275" s="2">
        <f>IFERROR(IF('RAW DATA'!L275="",3,'RAW DATA'!L275),3)</f>
        <v>5</v>
      </c>
      <c r="M275" s="3" t="s">
        <v>25</v>
      </c>
      <c r="N275" s="3" t="s">
        <v>26</v>
      </c>
      <c r="O275" s="3">
        <v>1</v>
      </c>
      <c r="P275" s="3" t="s">
        <v>45</v>
      </c>
      <c r="Q275" s="10" t="s">
        <v>73</v>
      </c>
      <c r="R275" s="2" t="str">
        <f>IFERROR(TEXT('RAW DATA'!B275,"MMMM"),"UKNNOWN")</f>
        <v>April</v>
      </c>
      <c r="S275" s="5">
        <f>IFERROR(MONTH('RAW DATA'!B275),0)</f>
        <v>4</v>
      </c>
      <c r="T275" s="3" t="str">
        <f t="shared" si="8"/>
        <v>Q2</v>
      </c>
      <c r="U275" s="3" t="str">
        <f>IF('RAW DATA'!I275&gt;20,"High",IF('RAW DATA'!I275&gt;10,"Medium","Low"))</f>
        <v>Low</v>
      </c>
      <c r="V275" s="3" t="str">
        <f>IF('RAW DATA'!B275="","Yes","No")</f>
        <v>No</v>
      </c>
      <c r="W275" s="2" t="str">
        <f>IF(COUNTIF(A$2:A574,A275)&gt;1,"Duplicate","OK")</f>
        <v>OK</v>
      </c>
      <c r="X275">
        <f t="shared" si="9"/>
        <v>5</v>
      </c>
    </row>
    <row r="276" spans="1:24" x14ac:dyDescent="0.25">
      <c r="A276" s="2" t="s">
        <v>535</v>
      </c>
      <c r="B276" s="2" t="s">
        <v>362</v>
      </c>
      <c r="C276" s="2" t="s">
        <v>70</v>
      </c>
      <c r="D276" s="2" t="str">
        <f>PROPER('RAW DATA'!D276)</f>
        <v>Claire Mukamana</v>
      </c>
      <c r="E276" s="2" t="s">
        <v>33</v>
      </c>
      <c r="F276" s="2" t="s">
        <v>34</v>
      </c>
      <c r="G276" s="2" t="s">
        <v>43</v>
      </c>
      <c r="H276" s="2" t="s">
        <v>23</v>
      </c>
      <c r="I276" s="5">
        <f>IFERROR(IF('RAW DATA'!I276="",AVERAGE('RAW DATA'!I$2:I$301),'RAW DATA'!I276),0)</f>
        <v>12</v>
      </c>
      <c r="J276" s="2">
        <v>4.9000000000000004</v>
      </c>
      <c r="K276" s="2" t="s">
        <v>24</v>
      </c>
      <c r="L276" s="2">
        <f>IFERROR(IF('RAW DATA'!L276="",3,'RAW DATA'!L276),3)</f>
        <v>5</v>
      </c>
      <c r="M276" s="2" t="s">
        <v>81</v>
      </c>
      <c r="N276" s="2" t="s">
        <v>26</v>
      </c>
      <c r="O276" s="2">
        <v>1</v>
      </c>
      <c r="P276" s="2" t="s">
        <v>45</v>
      </c>
      <c r="Q276" s="9" t="s">
        <v>73</v>
      </c>
      <c r="R276" s="3" t="str">
        <f>IFERROR(TEXT('RAW DATA'!B276,"MMMM"),"UKNNOWN")</f>
        <v>July</v>
      </c>
      <c r="S276" s="5">
        <f>IFERROR(MONTH('RAW DATA'!B276),0)</f>
        <v>7</v>
      </c>
      <c r="T276" s="2" t="str">
        <f t="shared" si="8"/>
        <v>Q3</v>
      </c>
      <c r="U276" s="2" t="str">
        <f>IF('RAW DATA'!I276&gt;20,"High",IF('RAW DATA'!I276&gt;10,"Medium","Low"))</f>
        <v>Medium</v>
      </c>
      <c r="V276" s="2" t="str">
        <f>IF('RAW DATA'!B276="","Yes","No")</f>
        <v>No</v>
      </c>
      <c r="W276" s="2" t="str">
        <f>IF(COUNTIF(A$2:A575,A276)&gt;1,"Duplicate","OK")</f>
        <v>OK</v>
      </c>
      <c r="X276">
        <f t="shared" si="9"/>
        <v>5</v>
      </c>
    </row>
    <row r="277" spans="1:24" x14ac:dyDescent="0.25">
      <c r="A277" s="3" t="s">
        <v>536</v>
      </c>
      <c r="B277" s="3" t="s">
        <v>414</v>
      </c>
      <c r="C277" s="3" t="s">
        <v>18</v>
      </c>
      <c r="D277" s="2" t="str">
        <f>PROPER('RAW DATA'!D277)</f>
        <v>Bob Nshimiyimana</v>
      </c>
      <c r="E277" s="3" t="s">
        <v>20</v>
      </c>
      <c r="F277" s="3" t="s">
        <v>21</v>
      </c>
      <c r="G277" s="3" t="s">
        <v>43</v>
      </c>
      <c r="H277" s="3" t="s">
        <v>58</v>
      </c>
      <c r="I277" s="5">
        <f>IFERROR(IF('RAW DATA'!I277="",AVERAGE('RAW DATA'!I$2:I$301),'RAW DATA'!I277),0)</f>
        <v>9.4</v>
      </c>
      <c r="J277" s="3">
        <v>5.0999999999999996</v>
      </c>
      <c r="K277" s="3" t="s">
        <v>24</v>
      </c>
      <c r="L277" s="2">
        <f>IFERROR(IF('RAW DATA'!L277="",3,'RAW DATA'!L277),3)</f>
        <v>5</v>
      </c>
      <c r="M277" s="3" t="s">
        <v>59</v>
      </c>
      <c r="N277" s="3" t="s">
        <v>26</v>
      </c>
      <c r="O277" s="3">
        <v>0</v>
      </c>
      <c r="P277" s="3" t="s">
        <v>45</v>
      </c>
      <c r="Q277" s="10" t="s">
        <v>28</v>
      </c>
      <c r="R277" s="2" t="str">
        <f>IFERROR(TEXT('RAW DATA'!B277,"MMMM"),"UKNNOWN")</f>
        <v>September</v>
      </c>
      <c r="S277" s="5">
        <f>IFERROR(MONTH('RAW DATA'!B277),0)</f>
        <v>9</v>
      </c>
      <c r="T277" s="3" t="str">
        <f t="shared" si="8"/>
        <v>Q3</v>
      </c>
      <c r="U277" s="3" t="str">
        <f>IF('RAW DATA'!I277&gt;20,"High",IF('RAW DATA'!I277&gt;10,"Medium","Low"))</f>
        <v>Low</v>
      </c>
      <c r="V277" s="3" t="str">
        <f>IF('RAW DATA'!B277="","Yes","No")</f>
        <v>No</v>
      </c>
      <c r="W277" s="2" t="str">
        <f>IF(COUNTIF(A$2:A576,A277)&gt;1,"Duplicate","OK")</f>
        <v>OK</v>
      </c>
      <c r="X277">
        <f t="shared" si="9"/>
        <v>5</v>
      </c>
    </row>
    <row r="278" spans="1:24" x14ac:dyDescent="0.25">
      <c r="A278" s="2" t="s">
        <v>537</v>
      </c>
      <c r="B278" s="2" t="s">
        <v>538</v>
      </c>
      <c r="C278" s="2" t="s">
        <v>70</v>
      </c>
      <c r="D278" s="2" t="str">
        <f>PROPER('RAW DATA'!D278)</f>
        <v>Claire Mukamana</v>
      </c>
      <c r="E278" s="2" t="s">
        <v>33</v>
      </c>
      <c r="F278" s="2" t="s">
        <v>34</v>
      </c>
      <c r="G278" s="2" t="s">
        <v>43</v>
      </c>
      <c r="H278" s="2" t="s">
        <v>35</v>
      </c>
      <c r="I278" s="5">
        <f>IFERROR(IF('RAW DATA'!I278="",AVERAGE('RAW DATA'!I$2:I$301),'RAW DATA'!I278),0)</f>
        <v>5.9</v>
      </c>
      <c r="J278" s="2">
        <v>4.2</v>
      </c>
      <c r="K278" s="2" t="s">
        <v>26</v>
      </c>
      <c r="L278" s="2">
        <f>IFERROR(IF('RAW DATA'!L278="",3,'RAW DATA'!L278),3)</f>
        <v>2</v>
      </c>
      <c r="M278" s="2" t="s">
        <v>81</v>
      </c>
      <c r="N278" s="2" t="s">
        <v>26</v>
      </c>
      <c r="O278" s="2">
        <v>0</v>
      </c>
      <c r="P278" s="2" t="s">
        <v>66</v>
      </c>
      <c r="Q278" s="9" t="s">
        <v>73</v>
      </c>
      <c r="R278" s="3" t="str">
        <f>IFERROR(TEXT('RAW DATA'!B278,"MMMM"),"UKNNOWN")</f>
        <v>December</v>
      </c>
      <c r="S278" s="5">
        <f>IFERROR(MONTH('RAW DATA'!B278),0)</f>
        <v>12</v>
      </c>
      <c r="T278" s="2" t="str">
        <f t="shared" si="8"/>
        <v>Q4</v>
      </c>
      <c r="U278" s="2" t="str">
        <f>IF('RAW DATA'!I278&gt;20,"High",IF('RAW DATA'!I278&gt;10,"Medium","Low"))</f>
        <v>Low</v>
      </c>
      <c r="V278" s="2" t="str">
        <f>IF('RAW DATA'!B278="","Yes","No")</f>
        <v>No</v>
      </c>
      <c r="W278" s="2" t="str">
        <f>IF(COUNTIF(A$2:A577,A278)&gt;1,"Duplicate","OK")</f>
        <v>OK</v>
      </c>
      <c r="X278">
        <f t="shared" si="9"/>
        <v>2</v>
      </c>
    </row>
    <row r="279" spans="1:24" x14ac:dyDescent="0.25">
      <c r="A279" s="3" t="s">
        <v>539</v>
      </c>
      <c r="B279" s="3" t="s">
        <v>89</v>
      </c>
      <c r="C279" s="3" t="s">
        <v>70</v>
      </c>
      <c r="D279" s="2" t="str">
        <f>PROPER('RAW DATA'!D279)</f>
        <v>Claire Mukamana</v>
      </c>
      <c r="E279" s="3" t="s">
        <v>33</v>
      </c>
      <c r="F279" s="3" t="s">
        <v>34</v>
      </c>
      <c r="G279" s="3" t="s">
        <v>43</v>
      </c>
      <c r="H279" s="3" t="s">
        <v>72</v>
      </c>
      <c r="I279" s="5">
        <f>IFERROR(IF('RAW DATA'!I279="",AVERAGE('RAW DATA'!I$2:I$301),'RAW DATA'!I279),0)</f>
        <v>5.2</v>
      </c>
      <c r="J279" s="3">
        <v>1.7</v>
      </c>
      <c r="K279" s="3" t="s">
        <v>26</v>
      </c>
      <c r="L279" s="2">
        <f>IFERROR(IF('RAW DATA'!L279="",3,'RAW DATA'!L279),3)</f>
        <v>2</v>
      </c>
      <c r="M279" s="3" t="s">
        <v>81</v>
      </c>
      <c r="N279" s="3" t="s">
        <v>26</v>
      </c>
      <c r="O279" s="3">
        <v>0</v>
      </c>
      <c r="P279" s="3" t="s">
        <v>52</v>
      </c>
      <c r="Q279" s="10" t="s">
        <v>73</v>
      </c>
      <c r="R279" s="2" t="str">
        <f>IFERROR(TEXT('RAW DATA'!B279,"MMMM"),"UKNNOWN")</f>
        <v>July</v>
      </c>
      <c r="S279" s="5">
        <f>IFERROR(MONTH('RAW DATA'!B279),0)</f>
        <v>7</v>
      </c>
      <c r="T279" s="3" t="str">
        <f t="shared" si="8"/>
        <v>Q3</v>
      </c>
      <c r="U279" s="3" t="str">
        <f>IF('RAW DATA'!I279&gt;20,"High",IF('RAW DATA'!I279&gt;10,"Medium","Low"))</f>
        <v>Low</v>
      </c>
      <c r="V279" s="3" t="str">
        <f>IF('RAW DATA'!B279="","Yes","No")</f>
        <v>No</v>
      </c>
      <c r="W279" s="2" t="str">
        <f>IF(COUNTIF(A$2:A578,A279)&gt;1,"Duplicate","OK")</f>
        <v>OK</v>
      </c>
      <c r="X279">
        <f t="shared" si="9"/>
        <v>2</v>
      </c>
    </row>
    <row r="280" spans="1:24" x14ac:dyDescent="0.25">
      <c r="A280" s="2" t="s">
        <v>540</v>
      </c>
      <c r="B280" s="2" t="s">
        <v>238</v>
      </c>
      <c r="C280" s="2" t="s">
        <v>56</v>
      </c>
      <c r="D280" s="2" t="str">
        <f>PROPER('RAW DATA'!D280)</f>
        <v>John Gasana</v>
      </c>
      <c r="E280" s="2" t="s">
        <v>41</v>
      </c>
      <c r="F280" s="2" t="s">
        <v>42</v>
      </c>
      <c r="G280" s="2" t="s">
        <v>22</v>
      </c>
      <c r="H280" s="2" t="s">
        <v>80</v>
      </c>
      <c r="I280" s="5">
        <f>IFERROR(IF('RAW DATA'!I280="",AVERAGE('RAW DATA'!I$2:I$301),'RAW DATA'!I280),0)</f>
        <v>5.7</v>
      </c>
      <c r="J280" s="2">
        <v>0.3</v>
      </c>
      <c r="K280" s="2" t="s">
        <v>26</v>
      </c>
      <c r="L280" s="2">
        <f>IFERROR(IF('RAW DATA'!L280="",3,'RAW DATA'!L280),3)</f>
        <v>2</v>
      </c>
      <c r="M280" s="2" t="s">
        <v>59</v>
      </c>
      <c r="N280" s="2" t="s">
        <v>24</v>
      </c>
      <c r="O280" s="2">
        <v>0</v>
      </c>
      <c r="P280" s="2" t="s">
        <v>27</v>
      </c>
      <c r="Q280" s="9" t="s">
        <v>60</v>
      </c>
      <c r="R280" s="3" t="str">
        <f>IFERROR(TEXT('RAW DATA'!B280,"MMMM"),"UKNNOWN")</f>
        <v>July</v>
      </c>
      <c r="S280" s="5">
        <f>IFERROR(MONTH('RAW DATA'!B280),0)</f>
        <v>7</v>
      </c>
      <c r="T280" s="2" t="str">
        <f t="shared" si="8"/>
        <v>Q3</v>
      </c>
      <c r="U280" s="2" t="str">
        <f>IF('RAW DATA'!I280&gt;20,"High",IF('RAW DATA'!I280&gt;10,"Medium","Low"))</f>
        <v>Low</v>
      </c>
      <c r="V280" s="2" t="str">
        <f>IF('RAW DATA'!B280="","Yes","No")</f>
        <v>No</v>
      </c>
      <c r="W280" s="2" t="str">
        <f>IF(COUNTIF(A$2:A579,A280)&gt;1,"Duplicate","OK")</f>
        <v>OK</v>
      </c>
      <c r="X280">
        <f t="shared" si="9"/>
        <v>2</v>
      </c>
    </row>
    <row r="281" spans="1:24" x14ac:dyDescent="0.25">
      <c r="A281" s="3" t="s">
        <v>541</v>
      </c>
      <c r="B281" s="3" t="s">
        <v>75</v>
      </c>
      <c r="C281" s="3" t="s">
        <v>70</v>
      </c>
      <c r="D281" s="2" t="str">
        <f>PROPER('RAW DATA'!D281)</f>
        <v>Claire Mukamana</v>
      </c>
      <c r="E281" s="3" t="s">
        <v>33</v>
      </c>
      <c r="F281" s="3" t="s">
        <v>34</v>
      </c>
      <c r="G281" s="3" t="s">
        <v>43</v>
      </c>
      <c r="H281" s="3" t="s">
        <v>72</v>
      </c>
      <c r="I281" s="5">
        <f>IFERROR(IF('RAW DATA'!I281="",AVERAGE('RAW DATA'!I$2:I$301),'RAW DATA'!I281),0)</f>
        <v>8.1</v>
      </c>
      <c r="J281" s="3">
        <v>6.9</v>
      </c>
      <c r="K281" s="3" t="s">
        <v>26</v>
      </c>
      <c r="L281" s="2">
        <f>IFERROR(IF('RAW DATA'!L281="",3,'RAW DATA'!L281),3)</f>
        <v>3</v>
      </c>
      <c r="M281" s="3" t="s">
        <v>59</v>
      </c>
      <c r="N281" s="3" t="s">
        <v>26</v>
      </c>
      <c r="O281" s="3">
        <v>0</v>
      </c>
      <c r="P281" s="3" t="s">
        <v>66</v>
      </c>
      <c r="Q281" s="10" t="s">
        <v>73</v>
      </c>
      <c r="R281" s="2" t="str">
        <f>IFERROR(TEXT('RAW DATA'!B281,"MMMM"),"UKNNOWN")</f>
        <v>June</v>
      </c>
      <c r="S281" s="5">
        <f>IFERROR(MONTH('RAW DATA'!B281),0)</f>
        <v>6</v>
      </c>
      <c r="T281" s="3" t="str">
        <f t="shared" si="8"/>
        <v>Q2</v>
      </c>
      <c r="U281" s="3" t="str">
        <f>IF('RAW DATA'!I281&gt;20,"High",IF('RAW DATA'!I281&gt;10,"Medium","Low"))</f>
        <v>Low</v>
      </c>
      <c r="V281" s="3" t="str">
        <f>IF('RAW DATA'!B281="","Yes","No")</f>
        <v>No</v>
      </c>
      <c r="W281" s="2" t="str">
        <f>IF(COUNTIF(A$2:A580,A281)&gt;1,"Duplicate","OK")</f>
        <v>OK</v>
      </c>
      <c r="X281">
        <f t="shared" si="9"/>
        <v>3</v>
      </c>
    </row>
    <row r="282" spans="1:24" x14ac:dyDescent="0.25">
      <c r="A282" s="2" t="s">
        <v>542</v>
      </c>
      <c r="B282" s="2" t="s">
        <v>419</v>
      </c>
      <c r="C282" s="2" t="s">
        <v>105</v>
      </c>
      <c r="D282" s="2" t="str">
        <f>PROPER('RAW DATA'!D282)</f>
        <v>Alice Uwimana</v>
      </c>
      <c r="E282" s="2" t="s">
        <v>20</v>
      </c>
      <c r="F282" s="2" t="s">
        <v>21</v>
      </c>
      <c r="G282" s="2" t="s">
        <v>43</v>
      </c>
      <c r="H282" s="2" t="s">
        <v>23</v>
      </c>
      <c r="I282" s="5">
        <f>IFERROR(IF('RAW DATA'!I282="",AVERAGE('RAW DATA'!I$2:I$301),'RAW DATA'!I282),0)</f>
        <v>7.6041237113402103</v>
      </c>
      <c r="J282" s="2">
        <v>0.5</v>
      </c>
      <c r="K282" s="2" t="s">
        <v>26</v>
      </c>
      <c r="L282" s="2">
        <f>IFERROR(IF('RAW DATA'!L282="",3,'RAW DATA'!L282),3)</f>
        <v>3</v>
      </c>
      <c r="M282" s="2" t="s">
        <v>90</v>
      </c>
      <c r="N282" s="2" t="s">
        <v>24</v>
      </c>
      <c r="O282" s="2">
        <v>3</v>
      </c>
      <c r="P282" s="2" t="s">
        <v>27</v>
      </c>
      <c r="Q282" s="9" t="s">
        <v>107</v>
      </c>
      <c r="R282" s="3" t="str">
        <f>IFERROR(TEXT('RAW DATA'!B282,"MMMM"),"UKNNOWN")</f>
        <v>May</v>
      </c>
      <c r="S282" s="5">
        <f>IFERROR(MONTH('RAW DATA'!B282),0)</f>
        <v>5</v>
      </c>
      <c r="T282" s="2" t="str">
        <f t="shared" si="8"/>
        <v>Q2</v>
      </c>
      <c r="U282" s="2" t="str">
        <f>IF('RAW DATA'!I282&gt;20,"High",IF('RAW DATA'!I282&gt;10,"Medium","Low"))</f>
        <v>Low</v>
      </c>
      <c r="V282" s="2" t="str">
        <f>IF('RAW DATA'!B282="","Yes","No")</f>
        <v>No</v>
      </c>
      <c r="W282" s="2" t="str">
        <f>IF(COUNTIF(A$2:A581,A282)&gt;1,"Duplicate","OK")</f>
        <v>OK</v>
      </c>
      <c r="X282">
        <f t="shared" si="9"/>
        <v>3</v>
      </c>
    </row>
    <row r="283" spans="1:24" x14ac:dyDescent="0.25">
      <c r="A283" s="3" t="s">
        <v>543</v>
      </c>
      <c r="B283" s="3" t="s">
        <v>373</v>
      </c>
      <c r="C283" s="3" t="s">
        <v>70</v>
      </c>
      <c r="D283" s="2" t="str">
        <f>PROPER('RAW DATA'!D283)</f>
        <v>Claire Mukamana</v>
      </c>
      <c r="E283" s="3" t="s">
        <v>33</v>
      </c>
      <c r="F283" s="3" t="s">
        <v>34</v>
      </c>
      <c r="G283" s="3" t="s">
        <v>43</v>
      </c>
      <c r="H283" s="3" t="s">
        <v>23</v>
      </c>
      <c r="I283" s="5">
        <f>IFERROR(IF('RAW DATA'!I283="",AVERAGE('RAW DATA'!I$2:I$301),'RAW DATA'!I283),0)</f>
        <v>3.7</v>
      </c>
      <c r="J283" s="3">
        <v>6.5</v>
      </c>
      <c r="K283" s="3" t="s">
        <v>24</v>
      </c>
      <c r="L283" s="2">
        <f>IFERROR(IF('RAW DATA'!L283="",3,'RAW DATA'!L283),3)</f>
        <v>4</v>
      </c>
      <c r="M283" s="3" t="s">
        <v>51</v>
      </c>
      <c r="N283" s="3" t="s">
        <v>26</v>
      </c>
      <c r="O283" s="3">
        <v>0</v>
      </c>
      <c r="P283" s="3" t="s">
        <v>52</v>
      </c>
      <c r="Q283" s="10" t="s">
        <v>73</v>
      </c>
      <c r="R283" s="2" t="str">
        <f>IFERROR(TEXT('RAW DATA'!B283,"MMMM"),"UKNNOWN")</f>
        <v>June</v>
      </c>
      <c r="S283" s="5">
        <f>IFERROR(MONTH('RAW DATA'!B283),0)</f>
        <v>6</v>
      </c>
      <c r="T283" s="3" t="str">
        <f t="shared" si="8"/>
        <v>Q2</v>
      </c>
      <c r="U283" s="3" t="str">
        <f>IF('RAW DATA'!I283&gt;20,"High",IF('RAW DATA'!I283&gt;10,"Medium","Low"))</f>
        <v>Low</v>
      </c>
      <c r="V283" s="3" t="str">
        <f>IF('RAW DATA'!B283="","Yes","No")</f>
        <v>No</v>
      </c>
      <c r="W283" s="2" t="str">
        <f>IF(COUNTIF(A$2:A582,A283)&gt;1,"Duplicate","OK")</f>
        <v>OK</v>
      </c>
      <c r="X283">
        <f t="shared" si="9"/>
        <v>4</v>
      </c>
    </row>
    <row r="284" spans="1:24" x14ac:dyDescent="0.25">
      <c r="A284" s="2" t="s">
        <v>544</v>
      </c>
      <c r="B284" s="2" t="s">
        <v>104</v>
      </c>
      <c r="C284" s="2" t="s">
        <v>105</v>
      </c>
      <c r="D284" s="2" t="str">
        <f>PROPER('RAW DATA'!D284)</f>
        <v>Alice Uwimana</v>
      </c>
      <c r="E284" s="2" t="s">
        <v>20</v>
      </c>
      <c r="F284" s="2" t="s">
        <v>21</v>
      </c>
      <c r="G284" s="2" t="s">
        <v>22</v>
      </c>
      <c r="H284" s="2" t="s">
        <v>44</v>
      </c>
      <c r="I284" s="5">
        <f>IFERROR(IF('RAW DATA'!I284="",AVERAGE('RAW DATA'!I$2:I$301),'RAW DATA'!I284),0)</f>
        <v>7.9</v>
      </c>
      <c r="J284" s="2">
        <v>4.5999999999999996</v>
      </c>
      <c r="K284" s="2" t="s">
        <v>26</v>
      </c>
      <c r="L284" s="2">
        <f>IFERROR(IF('RAW DATA'!L284="",3,'RAW DATA'!L284),3)</f>
        <v>2</v>
      </c>
      <c r="M284" s="2" t="s">
        <v>59</v>
      </c>
      <c r="N284" s="2" t="s">
        <v>26</v>
      </c>
      <c r="O284" s="2">
        <v>1</v>
      </c>
      <c r="P284" s="2" t="s">
        <v>27</v>
      </c>
      <c r="Q284" s="9" t="s">
        <v>107</v>
      </c>
      <c r="R284" s="3" t="str">
        <f>IFERROR(TEXT('RAW DATA'!B284,"MMMM"),"UKNNOWN")</f>
        <v>February</v>
      </c>
      <c r="S284" s="5">
        <f>IFERROR(MONTH('RAW DATA'!B284),0)</f>
        <v>2</v>
      </c>
      <c r="T284" s="2" t="str">
        <f t="shared" si="8"/>
        <v>Q1</v>
      </c>
      <c r="U284" s="2" t="str">
        <f>IF('RAW DATA'!I284&gt;20,"High",IF('RAW DATA'!I284&gt;10,"Medium","Low"))</f>
        <v>Low</v>
      </c>
      <c r="V284" s="2" t="str">
        <f>IF('RAW DATA'!B284="","Yes","No")</f>
        <v>No</v>
      </c>
      <c r="W284" s="2" t="str">
        <f>IF(COUNTIF(A$2:A583,A284)&gt;1,"Duplicate","OK")</f>
        <v>OK</v>
      </c>
      <c r="X284">
        <f t="shared" si="9"/>
        <v>2</v>
      </c>
    </row>
    <row r="285" spans="1:24" x14ac:dyDescent="0.25">
      <c r="A285" s="3" t="s">
        <v>545</v>
      </c>
      <c r="B285" s="3" t="s">
        <v>334</v>
      </c>
      <c r="C285" s="3" t="s">
        <v>85</v>
      </c>
      <c r="D285" s="2" t="str">
        <f>PROPER('RAW DATA'!D285)</f>
        <v>Irene Mutesi</v>
      </c>
      <c r="E285" s="3" t="s">
        <v>20</v>
      </c>
      <c r="F285" s="3" t="s">
        <v>21</v>
      </c>
      <c r="G285" s="3" t="s">
        <v>41</v>
      </c>
      <c r="H285" s="3" t="s">
        <v>80</v>
      </c>
      <c r="I285" s="5">
        <f>IFERROR(IF('RAW DATA'!I285="",AVERAGE('RAW DATA'!I$2:I$301),'RAW DATA'!I285),0)</f>
        <v>6.3</v>
      </c>
      <c r="J285" s="3">
        <v>3.7</v>
      </c>
      <c r="K285" s="3" t="s">
        <v>26</v>
      </c>
      <c r="L285" s="2">
        <f>IFERROR(IF('RAW DATA'!L285="",3,'RAW DATA'!L285),3)</f>
        <v>2</v>
      </c>
      <c r="M285" s="3" t="s">
        <v>59</v>
      </c>
      <c r="N285" s="3" t="s">
        <v>24</v>
      </c>
      <c r="O285" s="3">
        <v>1</v>
      </c>
      <c r="P285" s="3" t="s">
        <v>13</v>
      </c>
      <c r="Q285" s="10" t="s">
        <v>87</v>
      </c>
      <c r="R285" s="2" t="str">
        <f>IFERROR(TEXT('RAW DATA'!B285,"MMMM"),"UKNNOWN")</f>
        <v>February</v>
      </c>
      <c r="S285" s="5">
        <f>IFERROR(MONTH('RAW DATA'!B285),0)</f>
        <v>2</v>
      </c>
      <c r="T285" s="3" t="str">
        <f t="shared" si="8"/>
        <v>Q1</v>
      </c>
      <c r="U285" s="3" t="str">
        <f>IF('RAW DATA'!I285&gt;20,"High",IF('RAW DATA'!I285&gt;10,"Medium","Low"))</f>
        <v>Low</v>
      </c>
      <c r="V285" s="3" t="str">
        <f>IF('RAW DATA'!B285="","Yes","No")</f>
        <v>No</v>
      </c>
      <c r="W285" s="2" t="str">
        <f>IF(COUNTIF(A$2:A584,A285)&gt;1,"Duplicate","OK")</f>
        <v>OK</v>
      </c>
      <c r="X285">
        <f t="shared" si="9"/>
        <v>2</v>
      </c>
    </row>
    <row r="286" spans="1:24" x14ac:dyDescent="0.25">
      <c r="A286" s="2" t="s">
        <v>546</v>
      </c>
      <c r="B286" s="2" t="s">
        <v>220</v>
      </c>
      <c r="C286" s="2" t="s">
        <v>18</v>
      </c>
      <c r="D286" s="2" t="str">
        <f>PROPER('RAW DATA'!D286)</f>
        <v>Bob Nshimiyimana</v>
      </c>
      <c r="E286" s="2" t="s">
        <v>20</v>
      </c>
      <c r="F286" s="2" t="s">
        <v>21</v>
      </c>
      <c r="G286" s="2" t="s">
        <v>43</v>
      </c>
      <c r="H286" s="2" t="s">
        <v>58</v>
      </c>
      <c r="I286" s="5">
        <f>IFERROR(IF('RAW DATA'!I286="",AVERAGE('RAW DATA'!I$2:I$301),'RAW DATA'!I286),0)</f>
        <v>6.8</v>
      </c>
      <c r="J286" s="2">
        <v>6</v>
      </c>
      <c r="K286" s="2" t="s">
        <v>24</v>
      </c>
      <c r="L286" s="2">
        <f>IFERROR(IF('RAW DATA'!L286="",3,'RAW DATA'!L286),3)</f>
        <v>5</v>
      </c>
      <c r="M286" s="2" t="s">
        <v>59</v>
      </c>
      <c r="N286" s="2" t="s">
        <v>26</v>
      </c>
      <c r="O286" s="2">
        <v>0</v>
      </c>
      <c r="P286" s="2" t="s">
        <v>45</v>
      </c>
      <c r="Q286" s="9" t="s">
        <v>28</v>
      </c>
      <c r="R286" s="3" t="str">
        <f>IFERROR(TEXT('RAW DATA'!B286,"MMMM"),"UKNNOWN")</f>
        <v>October</v>
      </c>
      <c r="S286" s="5">
        <f>IFERROR(MONTH('RAW DATA'!B286),0)</f>
        <v>10</v>
      </c>
      <c r="T286" s="2" t="str">
        <f t="shared" si="8"/>
        <v>Q4</v>
      </c>
      <c r="U286" s="2" t="str">
        <f>IF('RAW DATA'!I286&gt;20,"High",IF('RAW DATA'!I286&gt;10,"Medium","Low"))</f>
        <v>Low</v>
      </c>
      <c r="V286" s="2" t="str">
        <f>IF('RAW DATA'!B286="","Yes","No")</f>
        <v>No</v>
      </c>
      <c r="W286" s="2" t="str">
        <f>IF(COUNTIF(A$2:A585,A286)&gt;1,"Duplicate","OK")</f>
        <v>OK</v>
      </c>
      <c r="X286">
        <f t="shared" si="9"/>
        <v>5</v>
      </c>
    </row>
    <row r="287" spans="1:24" x14ac:dyDescent="0.25">
      <c r="A287" s="3" t="s">
        <v>547</v>
      </c>
      <c r="B287" s="3" t="s">
        <v>147</v>
      </c>
      <c r="C287" s="3" t="s">
        <v>63</v>
      </c>
      <c r="D287" s="2" t="str">
        <f>PROPER('RAW DATA'!D287)</f>
        <v>Henry Bizimana</v>
      </c>
      <c r="E287" s="3" t="s">
        <v>33</v>
      </c>
      <c r="F287" s="3" t="s">
        <v>34</v>
      </c>
      <c r="G287" s="3" t="s">
        <v>43</v>
      </c>
      <c r="H287" s="3" t="s">
        <v>65</v>
      </c>
      <c r="I287" s="5">
        <f>IFERROR(IF('RAW DATA'!I287="",AVERAGE('RAW DATA'!I$2:I$301),'RAW DATA'!I287),0)</f>
        <v>7.2</v>
      </c>
      <c r="J287" s="3">
        <v>3.6</v>
      </c>
      <c r="K287" s="3" t="s">
        <v>24</v>
      </c>
      <c r="L287" s="2">
        <f>IFERROR(IF('RAW DATA'!L287="",3,'RAW DATA'!L287),3)</f>
        <v>5</v>
      </c>
      <c r="M287" s="3" t="s">
        <v>25</v>
      </c>
      <c r="N287" s="3" t="s">
        <v>26</v>
      </c>
      <c r="O287" s="3">
        <v>0</v>
      </c>
      <c r="P287" s="3" t="s">
        <v>45</v>
      </c>
      <c r="Q287" s="10" t="s">
        <v>67</v>
      </c>
      <c r="R287" s="2" t="str">
        <f>IFERROR(TEXT('RAW DATA'!B287,"MMMM"),"UKNNOWN")</f>
        <v>February</v>
      </c>
      <c r="S287" s="5">
        <f>IFERROR(MONTH('RAW DATA'!B287),0)</f>
        <v>2</v>
      </c>
      <c r="T287" s="3" t="str">
        <f t="shared" si="8"/>
        <v>Q1</v>
      </c>
      <c r="U287" s="3" t="str">
        <f>IF('RAW DATA'!I287&gt;20,"High",IF('RAW DATA'!I287&gt;10,"Medium","Low"))</f>
        <v>Low</v>
      </c>
      <c r="V287" s="3" t="str">
        <f>IF('RAW DATA'!B287="","Yes","No")</f>
        <v>No</v>
      </c>
      <c r="W287" s="2" t="str">
        <f>IF(COUNTIF(A$2:A586,A287)&gt;1,"Duplicate","OK")</f>
        <v>OK</v>
      </c>
      <c r="X287">
        <f t="shared" si="9"/>
        <v>5</v>
      </c>
    </row>
    <row r="288" spans="1:24" x14ac:dyDescent="0.25">
      <c r="A288" s="2" t="s">
        <v>548</v>
      </c>
      <c r="B288" s="2" t="s">
        <v>549</v>
      </c>
      <c r="C288" s="2" t="s">
        <v>63</v>
      </c>
      <c r="D288" s="2" t="str">
        <f>PROPER('RAW DATA'!D288)</f>
        <v>Henry Bizimana</v>
      </c>
      <c r="E288" s="2" t="s">
        <v>33</v>
      </c>
      <c r="F288" s="2" t="s">
        <v>34</v>
      </c>
      <c r="G288" s="2" t="s">
        <v>43</v>
      </c>
      <c r="H288" s="2" t="s">
        <v>65</v>
      </c>
      <c r="I288" s="5">
        <f>IFERROR(IF('RAW DATA'!I288="",AVERAGE('RAW DATA'!I$2:I$301),'RAW DATA'!I288),0)</f>
        <v>11.5</v>
      </c>
      <c r="J288" s="2">
        <v>3.3</v>
      </c>
      <c r="K288" s="2" t="s">
        <v>24</v>
      </c>
      <c r="L288" s="2">
        <f>IFERROR(IF('RAW DATA'!L288="",3,'RAW DATA'!L288),3)</f>
        <v>5</v>
      </c>
      <c r="M288" s="2" t="s">
        <v>90</v>
      </c>
      <c r="N288" s="2" t="s">
        <v>26</v>
      </c>
      <c r="O288" s="2">
        <v>1</v>
      </c>
      <c r="P288" s="2" t="s">
        <v>13</v>
      </c>
      <c r="Q288" s="9" t="s">
        <v>67</v>
      </c>
      <c r="R288" s="3" t="str">
        <f>IFERROR(TEXT('RAW DATA'!B288,"MMMM"),"UKNNOWN")</f>
        <v>March</v>
      </c>
      <c r="S288" s="5">
        <f>IFERROR(MONTH('RAW DATA'!B288),0)</f>
        <v>3</v>
      </c>
      <c r="T288" s="2" t="str">
        <f t="shared" si="8"/>
        <v>Q1</v>
      </c>
      <c r="U288" s="2" t="str">
        <f>IF('RAW DATA'!I288&gt;20,"High",IF('RAW DATA'!I288&gt;10,"Medium","Low"))</f>
        <v>Medium</v>
      </c>
      <c r="V288" s="2" t="str">
        <f>IF('RAW DATA'!B288="","Yes","No")</f>
        <v>No</v>
      </c>
      <c r="W288" s="2" t="str">
        <f>IF(COUNTIF(A$2:A587,A288)&gt;1,"Duplicate","OK")</f>
        <v>OK</v>
      </c>
      <c r="X288">
        <f t="shared" si="9"/>
        <v>5</v>
      </c>
    </row>
    <row r="289" spans="1:24" x14ac:dyDescent="0.25">
      <c r="A289" s="3" t="s">
        <v>550</v>
      </c>
      <c r="B289" s="3" t="s">
        <v>551</v>
      </c>
      <c r="C289" s="3" t="s">
        <v>105</v>
      </c>
      <c r="D289" s="2" t="str">
        <f>PROPER('RAW DATA'!D289)</f>
        <v>Alice Uwimana</v>
      </c>
      <c r="E289" s="3" t="s">
        <v>20</v>
      </c>
      <c r="F289" s="3" t="s">
        <v>21</v>
      </c>
      <c r="G289" s="3" t="s">
        <v>43</v>
      </c>
      <c r="H289" s="3" t="s">
        <v>95</v>
      </c>
      <c r="I289" s="5">
        <f>IFERROR(IF('RAW DATA'!I289="",AVERAGE('RAW DATA'!I$2:I$301),'RAW DATA'!I289),0)</f>
        <v>6.4</v>
      </c>
      <c r="J289" s="3">
        <v>5.8</v>
      </c>
      <c r="K289" s="3" t="s">
        <v>24</v>
      </c>
      <c r="L289" s="2">
        <f>IFERROR(IF('RAW DATA'!L289="",3,'RAW DATA'!L289),3)</f>
        <v>4</v>
      </c>
      <c r="M289" s="3" t="s">
        <v>59</v>
      </c>
      <c r="N289" s="3" t="s">
        <v>26</v>
      </c>
      <c r="O289" s="3">
        <v>1</v>
      </c>
      <c r="P289" s="3" t="s">
        <v>27</v>
      </c>
      <c r="Q289" s="10" t="s">
        <v>107</v>
      </c>
      <c r="R289" s="3" t="str">
        <f>IFERROR(TEXT('RAW DATA'!B289,"MMMM"),"UKNNOWN")</f>
        <v>March</v>
      </c>
      <c r="S289" s="5">
        <f>IFERROR(MONTH('RAW DATA'!B289),0)</f>
        <v>3</v>
      </c>
      <c r="T289" s="3" t="str">
        <f t="shared" si="8"/>
        <v>Q1</v>
      </c>
      <c r="U289" s="3" t="str">
        <f>IF('RAW DATA'!I289&gt;20,"High",IF('RAW DATA'!I289&gt;10,"Medium","Low"))</f>
        <v>Low</v>
      </c>
      <c r="V289" s="3" t="str">
        <f>IF('RAW DATA'!B289="","Yes","No")</f>
        <v>No</v>
      </c>
      <c r="W289" s="2" t="str">
        <f>IF(COUNTIF(A$2:A588,A289)&gt;1,"Duplicate","OK")</f>
        <v>OK</v>
      </c>
      <c r="X289">
        <f t="shared" si="9"/>
        <v>4</v>
      </c>
    </row>
    <row r="290" spans="1:24" x14ac:dyDescent="0.25">
      <c r="A290" s="2" t="s">
        <v>552</v>
      </c>
      <c r="B290" s="2" t="s">
        <v>149</v>
      </c>
      <c r="C290" s="2" t="s">
        <v>49</v>
      </c>
      <c r="D290" s="2" t="str">
        <f>PROPER('RAW DATA'!D290)</f>
        <v>Frank Nzeyimana</v>
      </c>
      <c r="E290" s="2" t="s">
        <v>41</v>
      </c>
      <c r="F290" s="2" t="s">
        <v>42</v>
      </c>
      <c r="G290" s="2" t="s">
        <v>41</v>
      </c>
      <c r="H290" s="2" t="s">
        <v>58</v>
      </c>
      <c r="I290" s="5">
        <f>IFERROR(IF('RAW DATA'!I290="",AVERAGE('RAW DATA'!I$2:I$301),'RAW DATA'!I290),0)</f>
        <v>13.6</v>
      </c>
      <c r="J290" s="2">
        <v>5.4</v>
      </c>
      <c r="K290" s="2" t="s">
        <v>24</v>
      </c>
      <c r="L290" s="2">
        <f>IFERROR(IF('RAW DATA'!L290="",3,'RAW DATA'!L290),3)</f>
        <v>3</v>
      </c>
      <c r="M290" s="2" t="s">
        <v>81</v>
      </c>
      <c r="N290" s="2" t="s">
        <v>26</v>
      </c>
      <c r="O290" s="2">
        <v>1</v>
      </c>
      <c r="P290" s="2" t="s">
        <v>45</v>
      </c>
      <c r="Q290" s="9" t="s">
        <v>53</v>
      </c>
      <c r="R290" s="2" t="str">
        <f>IFERROR(TEXT('RAW DATA'!B290,"MMMM"),"UKNNOWN")</f>
        <v>September</v>
      </c>
      <c r="S290" s="5">
        <f>IFERROR(MONTH('RAW DATA'!B290),0)</f>
        <v>9</v>
      </c>
      <c r="T290" s="2" t="str">
        <f t="shared" si="8"/>
        <v>Q3</v>
      </c>
      <c r="U290" s="2" t="str">
        <f>IF('RAW DATA'!I290&gt;20,"High",IF('RAW DATA'!I290&gt;10,"Medium","Low"))</f>
        <v>Medium</v>
      </c>
      <c r="V290" s="2" t="str">
        <f>IF('RAW DATA'!B290="","Yes","No")</f>
        <v>No</v>
      </c>
      <c r="W290" s="2" t="str">
        <f>IF(COUNTIF(A$2:A589,A290)&gt;1,"Duplicate","OK")</f>
        <v>OK</v>
      </c>
      <c r="X290">
        <f t="shared" si="9"/>
        <v>3</v>
      </c>
    </row>
    <row r="291" spans="1:24" x14ac:dyDescent="0.25">
      <c r="A291" s="3" t="s">
        <v>553</v>
      </c>
      <c r="B291" s="3" t="s">
        <v>121</v>
      </c>
      <c r="C291" s="3" t="s">
        <v>105</v>
      </c>
      <c r="D291" s="2" t="str">
        <f>PROPER('RAW DATA'!D291)</f>
        <v>Alice Uwimana</v>
      </c>
      <c r="E291" s="3" t="s">
        <v>20</v>
      </c>
      <c r="F291" s="3" t="s">
        <v>21</v>
      </c>
      <c r="G291" s="3" t="s">
        <v>43</v>
      </c>
      <c r="H291" s="3" t="s">
        <v>44</v>
      </c>
      <c r="I291" s="5">
        <f>IFERROR(IF('RAW DATA'!I291="",AVERAGE('RAW DATA'!I$2:I$301),'RAW DATA'!I291),0)</f>
        <v>13.8</v>
      </c>
      <c r="J291" s="3">
        <v>5.0999999999999996</v>
      </c>
      <c r="K291" s="3" t="s">
        <v>26</v>
      </c>
      <c r="L291" s="2">
        <f>IFERROR(IF('RAW DATA'!L291="",3,'RAW DATA'!L291),3)</f>
        <v>3</v>
      </c>
      <c r="M291" s="3" t="s">
        <v>81</v>
      </c>
      <c r="N291" s="3" t="s">
        <v>24</v>
      </c>
      <c r="O291" s="3">
        <v>1</v>
      </c>
      <c r="P291" s="3" t="s">
        <v>13</v>
      </c>
      <c r="Q291" s="10" t="s">
        <v>107</v>
      </c>
      <c r="R291" s="3" t="str">
        <f>IFERROR(TEXT('RAW DATA'!B291,"MMMM"),"UKNNOWN")</f>
        <v>September</v>
      </c>
      <c r="S291" s="5">
        <f>IFERROR(MONTH('RAW DATA'!B291),0)</f>
        <v>9</v>
      </c>
      <c r="T291" s="3" t="str">
        <f t="shared" si="8"/>
        <v>Q3</v>
      </c>
      <c r="U291" s="3" t="str">
        <f>IF('RAW DATA'!I291&gt;20,"High",IF('RAW DATA'!I291&gt;10,"Medium","Low"))</f>
        <v>Medium</v>
      </c>
      <c r="V291" s="3" t="str">
        <f>IF('RAW DATA'!B291="","Yes","No")</f>
        <v>No</v>
      </c>
      <c r="W291" s="2" t="str">
        <f>IF(COUNTIF(A$2:A590,A291)&gt;1,"Duplicate","OK")</f>
        <v>OK</v>
      </c>
      <c r="X291">
        <f t="shared" si="9"/>
        <v>3</v>
      </c>
    </row>
    <row r="292" spans="1:24" x14ac:dyDescent="0.25">
      <c r="A292" s="2" t="s">
        <v>554</v>
      </c>
      <c r="B292" s="2" t="s">
        <v>555</v>
      </c>
      <c r="C292" s="2" t="s">
        <v>31</v>
      </c>
      <c r="D292" s="2" t="str">
        <f>PROPER('RAW DATA'!D292)</f>
        <v>David Habimana</v>
      </c>
      <c r="E292" s="2" t="s">
        <v>33</v>
      </c>
      <c r="F292" s="2" t="s">
        <v>34</v>
      </c>
      <c r="G292" s="2" t="s">
        <v>41</v>
      </c>
      <c r="H292" s="2" t="s">
        <v>23</v>
      </c>
      <c r="I292" s="5">
        <f>IFERROR(IF('RAW DATA'!I292="",AVERAGE('RAW DATA'!I$2:I$301),'RAW DATA'!I292),0)</f>
        <v>3.9</v>
      </c>
      <c r="J292" s="2">
        <v>5.6</v>
      </c>
      <c r="K292" s="2" t="s">
        <v>24</v>
      </c>
      <c r="L292" s="2">
        <f>IFERROR(IF('RAW DATA'!L292="",3,'RAW DATA'!L292),3)</f>
        <v>3</v>
      </c>
      <c r="M292" s="2" t="s">
        <v>81</v>
      </c>
      <c r="N292" s="2" t="s">
        <v>26</v>
      </c>
      <c r="O292" s="2">
        <v>1</v>
      </c>
      <c r="P292" s="2" t="s">
        <v>45</v>
      </c>
      <c r="Q292" s="9" t="s">
        <v>36</v>
      </c>
      <c r="R292" s="2" t="str">
        <f>IFERROR(TEXT('RAW DATA'!B292,"MMMM"),"UKNNOWN")</f>
        <v>June</v>
      </c>
      <c r="S292" s="5">
        <f>IFERROR(MONTH('RAW DATA'!B292),0)</f>
        <v>6</v>
      </c>
      <c r="T292" s="2" t="str">
        <f t="shared" si="8"/>
        <v>Q2</v>
      </c>
      <c r="U292" s="2" t="str">
        <f>IF('RAW DATA'!I292&gt;20,"High",IF('RAW DATA'!I292&gt;10,"Medium","Low"))</f>
        <v>Low</v>
      </c>
      <c r="V292" s="2" t="str">
        <f>IF('RAW DATA'!B292="","Yes","No")</f>
        <v>No</v>
      </c>
      <c r="W292" s="2" t="str">
        <f>IF(COUNTIF(A$2:A591,A292)&gt;1,"Duplicate","OK")</f>
        <v>OK</v>
      </c>
      <c r="X292">
        <f t="shared" si="9"/>
        <v>3</v>
      </c>
    </row>
    <row r="293" spans="1:24" x14ac:dyDescent="0.25">
      <c r="A293" s="3" t="s">
        <v>556</v>
      </c>
      <c r="B293" s="3" t="s">
        <v>557</v>
      </c>
      <c r="C293" s="3" t="s">
        <v>85</v>
      </c>
      <c r="D293" s="2" t="str">
        <f>PROPER('RAW DATA'!D293)</f>
        <v>Irene Mutesi</v>
      </c>
      <c r="E293" s="3" t="s">
        <v>20</v>
      </c>
      <c r="F293" s="3" t="s">
        <v>21</v>
      </c>
      <c r="G293" s="3" t="s">
        <v>43</v>
      </c>
      <c r="H293" s="3" t="s">
        <v>58</v>
      </c>
      <c r="I293" s="5">
        <f>IFERROR(IF('RAW DATA'!I293="",AVERAGE('RAW DATA'!I$2:I$301),'RAW DATA'!I293),0)</f>
        <v>15.4</v>
      </c>
      <c r="J293" s="3">
        <v>3.4</v>
      </c>
      <c r="K293" s="3" t="s">
        <v>26</v>
      </c>
      <c r="L293" s="2">
        <f>IFERROR(IF('RAW DATA'!L293="",3,'RAW DATA'!L293),3)</f>
        <v>2</v>
      </c>
      <c r="M293" s="3" t="s">
        <v>51</v>
      </c>
      <c r="N293" s="3" t="s">
        <v>26</v>
      </c>
      <c r="O293" s="3">
        <v>1</v>
      </c>
      <c r="P293" s="3" t="s">
        <v>66</v>
      </c>
      <c r="Q293" s="10" t="s">
        <v>87</v>
      </c>
      <c r="R293" s="3" t="str">
        <f>IFERROR(TEXT('RAW DATA'!B293,"MMMM"),"UKNNOWN")</f>
        <v>April</v>
      </c>
      <c r="S293" s="5">
        <f>IFERROR(MONTH('RAW DATA'!B293),0)</f>
        <v>4</v>
      </c>
      <c r="T293" s="3" t="str">
        <f t="shared" si="8"/>
        <v>Q2</v>
      </c>
      <c r="U293" s="3" t="str">
        <f>IF('RAW DATA'!I293&gt;20,"High",IF('RAW DATA'!I293&gt;10,"Medium","Low"))</f>
        <v>Medium</v>
      </c>
      <c r="V293" s="3" t="str">
        <f>IF('RAW DATA'!B293="","Yes","No")</f>
        <v>No</v>
      </c>
      <c r="W293" s="2" t="str">
        <f>IF(COUNTIF(A$2:A592,A293)&gt;1,"Duplicate","OK")</f>
        <v>OK</v>
      </c>
      <c r="X293">
        <f t="shared" si="9"/>
        <v>2</v>
      </c>
    </row>
    <row r="294" spans="1:24" x14ac:dyDescent="0.25">
      <c r="A294" s="2" t="s">
        <v>558</v>
      </c>
      <c r="B294" s="2" t="s">
        <v>559</v>
      </c>
      <c r="C294" s="2" t="s">
        <v>105</v>
      </c>
      <c r="D294" s="2" t="str">
        <f>PROPER('RAW DATA'!D294)</f>
        <v>Alice Uwimana</v>
      </c>
      <c r="E294" s="2" t="s">
        <v>20</v>
      </c>
      <c r="F294" s="2" t="s">
        <v>21</v>
      </c>
      <c r="G294" s="2" t="s">
        <v>43</v>
      </c>
      <c r="H294" s="2" t="s">
        <v>95</v>
      </c>
      <c r="I294" s="5">
        <f>IFERROR(IF('RAW DATA'!I294="",AVERAGE('RAW DATA'!I$2:I$301),'RAW DATA'!I294),0)</f>
        <v>6.3</v>
      </c>
      <c r="J294" s="2">
        <v>5.2</v>
      </c>
      <c r="K294" s="2" t="s">
        <v>24</v>
      </c>
      <c r="L294" s="2">
        <f>IFERROR(IF('RAW DATA'!L294="",3,'RAW DATA'!L294),3)</f>
        <v>5</v>
      </c>
      <c r="M294" s="2" t="s">
        <v>81</v>
      </c>
      <c r="N294" s="2" t="s">
        <v>26</v>
      </c>
      <c r="O294" s="2">
        <v>0</v>
      </c>
      <c r="P294" s="2" t="s">
        <v>52</v>
      </c>
      <c r="Q294" s="9" t="s">
        <v>107</v>
      </c>
      <c r="R294" s="2" t="str">
        <f>IFERROR(TEXT('RAW DATA'!B294,"MMMM"),"UKNNOWN")</f>
        <v>August</v>
      </c>
      <c r="S294" s="5">
        <f>IFERROR(MONTH('RAW DATA'!B294),0)</f>
        <v>8</v>
      </c>
      <c r="T294" s="2" t="str">
        <f t="shared" si="8"/>
        <v>Q3</v>
      </c>
      <c r="U294" s="2" t="str">
        <f>IF('RAW DATA'!I294&gt;20,"High",IF('RAW DATA'!I294&gt;10,"Medium","Low"))</f>
        <v>Low</v>
      </c>
      <c r="V294" s="2" t="str">
        <f>IF('RAW DATA'!B294="","Yes","No")</f>
        <v>No</v>
      </c>
      <c r="W294" s="2" t="str">
        <f>IF(COUNTIF(A$2:A593,A294)&gt;1,"Duplicate","OK")</f>
        <v>OK</v>
      </c>
      <c r="X294">
        <f t="shared" si="9"/>
        <v>5</v>
      </c>
    </row>
    <row r="295" spans="1:24" x14ac:dyDescent="0.25">
      <c r="A295" s="3" t="s">
        <v>560</v>
      </c>
      <c r="B295" s="3" t="s">
        <v>561</v>
      </c>
      <c r="C295" s="3" t="s">
        <v>31</v>
      </c>
      <c r="D295" s="2" t="str">
        <f>PROPER('RAW DATA'!D295)</f>
        <v>David Habimana</v>
      </c>
      <c r="E295" s="3" t="s">
        <v>33</v>
      </c>
      <c r="F295" s="3" t="s">
        <v>34</v>
      </c>
      <c r="G295" s="3" t="s">
        <v>43</v>
      </c>
      <c r="H295" s="3" t="s">
        <v>44</v>
      </c>
      <c r="I295" s="5">
        <f>IFERROR(IF('RAW DATA'!I295="",AVERAGE('RAW DATA'!I$2:I$301),'RAW DATA'!I295),0)</f>
        <v>12.1</v>
      </c>
      <c r="J295" s="3">
        <v>7.8</v>
      </c>
      <c r="K295" s="3" t="s">
        <v>26</v>
      </c>
      <c r="L295" s="2">
        <f>IFERROR(IF('RAW DATA'!L295="",3,'RAW DATA'!L295),3)</f>
        <v>1</v>
      </c>
      <c r="M295" s="3" t="s">
        <v>90</v>
      </c>
      <c r="N295" s="3" t="s">
        <v>26</v>
      </c>
      <c r="O295" s="3">
        <v>0</v>
      </c>
      <c r="P295" s="3" t="s">
        <v>66</v>
      </c>
      <c r="Q295" s="10" t="s">
        <v>36</v>
      </c>
      <c r="R295" s="3" t="str">
        <f>IFERROR(TEXT('RAW DATA'!B295,"MMMM"),"UKNNOWN")</f>
        <v>October</v>
      </c>
      <c r="S295" s="5">
        <f>IFERROR(MONTH('RAW DATA'!B295),0)</f>
        <v>10</v>
      </c>
      <c r="T295" s="3" t="str">
        <f t="shared" si="8"/>
        <v>Q4</v>
      </c>
      <c r="U295" s="3" t="str">
        <f>IF('RAW DATA'!I295&gt;20,"High",IF('RAW DATA'!I295&gt;10,"Medium","Low"))</f>
        <v>Medium</v>
      </c>
      <c r="V295" s="3" t="str">
        <f>IF('RAW DATA'!B295="","Yes","No")</f>
        <v>No</v>
      </c>
      <c r="W295" s="2" t="str">
        <f>IF(COUNTIF(A$2:A594,A295)&gt;1,"Duplicate","OK")</f>
        <v>OK</v>
      </c>
      <c r="X295">
        <f t="shared" si="9"/>
        <v>1</v>
      </c>
    </row>
    <row r="296" spans="1:24" x14ac:dyDescent="0.25">
      <c r="A296" s="2" t="s">
        <v>562</v>
      </c>
      <c r="B296" s="2" t="s">
        <v>563</v>
      </c>
      <c r="C296" s="2" t="s">
        <v>31</v>
      </c>
      <c r="D296" s="2" t="str">
        <f>PROPER('RAW DATA'!D296)</f>
        <v>David Habimana</v>
      </c>
      <c r="E296" s="2" t="s">
        <v>33</v>
      </c>
      <c r="F296" s="2" t="s">
        <v>34</v>
      </c>
      <c r="G296" s="2" t="s">
        <v>43</v>
      </c>
      <c r="H296" s="2" t="s">
        <v>58</v>
      </c>
      <c r="I296" s="5">
        <f>IFERROR(IF('RAW DATA'!I296="",AVERAGE('RAW DATA'!I$2:I$301),'RAW DATA'!I296),0)</f>
        <v>5.8</v>
      </c>
      <c r="J296" s="2">
        <v>3.7</v>
      </c>
      <c r="K296" s="2" t="s">
        <v>24</v>
      </c>
      <c r="L296" s="2">
        <f>IFERROR(IF('RAW DATA'!L296="",3,'RAW DATA'!L296),3)</f>
        <v>4</v>
      </c>
      <c r="M296" s="2" t="s">
        <v>25</v>
      </c>
      <c r="N296" s="2" t="s">
        <v>26</v>
      </c>
      <c r="O296" s="2">
        <v>0</v>
      </c>
      <c r="P296" s="2" t="s">
        <v>13</v>
      </c>
      <c r="Q296" s="9" t="s">
        <v>36</v>
      </c>
      <c r="R296" s="2" t="str">
        <f>IFERROR(TEXT('RAW DATA'!B296,"MMMM"),"UKNNOWN")</f>
        <v>February</v>
      </c>
      <c r="S296" s="5">
        <f>IFERROR(MONTH('RAW DATA'!B296),0)</f>
        <v>2</v>
      </c>
      <c r="T296" s="2" t="str">
        <f t="shared" si="8"/>
        <v>Q1</v>
      </c>
      <c r="U296" s="2" t="str">
        <f>IF('RAW DATA'!I296&gt;20,"High",IF('RAW DATA'!I296&gt;10,"Medium","Low"))</f>
        <v>Low</v>
      </c>
      <c r="V296" s="2" t="str">
        <f>IF('RAW DATA'!B296="","Yes","No")</f>
        <v>No</v>
      </c>
      <c r="W296" s="2" t="str">
        <f>IF(COUNTIF(A$2:A595,A296)&gt;1,"Duplicate","OK")</f>
        <v>OK</v>
      </c>
      <c r="X296">
        <f t="shared" si="9"/>
        <v>4</v>
      </c>
    </row>
    <row r="297" spans="1:24" x14ac:dyDescent="0.25">
      <c r="A297" s="3" t="s">
        <v>564</v>
      </c>
      <c r="B297" s="3" t="s">
        <v>565</v>
      </c>
      <c r="C297" s="3" t="s">
        <v>85</v>
      </c>
      <c r="D297" s="2" t="str">
        <f>PROPER('RAW DATA'!D297)</f>
        <v>Irene Mutesi</v>
      </c>
      <c r="E297" s="3" t="s">
        <v>20</v>
      </c>
      <c r="F297" s="3" t="s">
        <v>21</v>
      </c>
      <c r="G297" s="3" t="s">
        <v>43</v>
      </c>
      <c r="H297" s="3" t="s">
        <v>65</v>
      </c>
      <c r="I297" s="5">
        <f>IFERROR(IF('RAW DATA'!I297="",AVERAGE('RAW DATA'!I$2:I$301),'RAW DATA'!I297),0)</f>
        <v>2.6</v>
      </c>
      <c r="J297" s="3">
        <v>6.2</v>
      </c>
      <c r="K297" s="3" t="s">
        <v>24</v>
      </c>
      <c r="L297" s="2">
        <f>IFERROR(IF('RAW DATA'!L297="",3,'RAW DATA'!L297),3)</f>
        <v>4</v>
      </c>
      <c r="M297" s="3" t="s">
        <v>59</v>
      </c>
      <c r="N297" s="3" t="s">
        <v>26</v>
      </c>
      <c r="O297" s="3">
        <v>0</v>
      </c>
      <c r="P297" s="3" t="s">
        <v>27</v>
      </c>
      <c r="Q297" s="10" t="s">
        <v>87</v>
      </c>
      <c r="R297" s="3" t="str">
        <f>IFERROR(TEXT('RAW DATA'!B297,"MMMM"),"UKNNOWN")</f>
        <v>April</v>
      </c>
      <c r="S297" s="5">
        <f>IFERROR(MONTH('RAW DATA'!B297),0)</f>
        <v>4</v>
      </c>
      <c r="T297" s="3" t="str">
        <f t="shared" si="8"/>
        <v>Q2</v>
      </c>
      <c r="U297" s="3" t="str">
        <f>IF('RAW DATA'!I297&gt;20,"High",IF('RAW DATA'!I297&gt;10,"Medium","Low"))</f>
        <v>Low</v>
      </c>
      <c r="V297" s="3" t="str">
        <f>IF('RAW DATA'!B297="","Yes","No")</f>
        <v>No</v>
      </c>
      <c r="W297" s="2" t="str">
        <f>IF(COUNTIF(A$2:A596,A297)&gt;1,"Duplicate","OK")</f>
        <v>OK</v>
      </c>
      <c r="X297">
        <f t="shared" si="9"/>
        <v>4</v>
      </c>
    </row>
    <row r="298" spans="1:24" x14ac:dyDescent="0.25">
      <c r="A298" s="2" t="s">
        <v>566</v>
      </c>
      <c r="B298" s="2" t="s">
        <v>359</v>
      </c>
      <c r="C298" s="2" t="s">
        <v>56</v>
      </c>
      <c r="D298" s="2" t="str">
        <f>PROPER('RAW DATA'!D298)</f>
        <v>John Gasana</v>
      </c>
      <c r="E298" s="2" t="s">
        <v>41</v>
      </c>
      <c r="F298" s="2" t="s">
        <v>42</v>
      </c>
      <c r="G298" s="2" t="s">
        <v>43</v>
      </c>
      <c r="H298" s="2" t="s">
        <v>80</v>
      </c>
      <c r="I298" s="5">
        <f>IFERROR(IF('RAW DATA'!I298="",AVERAGE('RAW DATA'!I$2:I$301),'RAW DATA'!I298),0)</f>
        <v>5.0999999999999996</v>
      </c>
      <c r="J298" s="2">
        <v>3.1</v>
      </c>
      <c r="K298" s="2" t="s">
        <v>24</v>
      </c>
      <c r="L298" s="2">
        <f>IFERROR(IF('RAW DATA'!L298="",3,'RAW DATA'!L298),3)</f>
        <v>5</v>
      </c>
      <c r="M298" s="2" t="s">
        <v>59</v>
      </c>
      <c r="N298" s="2" t="s">
        <v>26</v>
      </c>
      <c r="O298" s="2">
        <v>0</v>
      </c>
      <c r="P298" s="2" t="s">
        <v>66</v>
      </c>
      <c r="Q298" s="9" t="s">
        <v>60</v>
      </c>
      <c r="R298" s="2" t="str">
        <f>IFERROR(TEXT('RAW DATA'!B298,"MMMM"),"UKNNOWN")</f>
        <v>February</v>
      </c>
      <c r="S298" s="5">
        <f>IFERROR(MONTH('RAW DATA'!B298),0)</f>
        <v>2</v>
      </c>
      <c r="T298" s="2" t="str">
        <f t="shared" si="8"/>
        <v>Q1</v>
      </c>
      <c r="U298" s="2" t="str">
        <f>IF('RAW DATA'!I298&gt;20,"High",IF('RAW DATA'!I298&gt;10,"Medium","Low"))</f>
        <v>Low</v>
      </c>
      <c r="V298" s="2" t="str">
        <f>IF('RAW DATA'!B298="","Yes","No")</f>
        <v>No</v>
      </c>
      <c r="W298" s="2" t="str">
        <f>IF(COUNTIF(A$2:A597,A298)&gt;1,"Duplicate","OK")</f>
        <v>OK</v>
      </c>
      <c r="X298">
        <f t="shared" si="9"/>
        <v>5</v>
      </c>
    </row>
    <row r="299" spans="1:24" x14ac:dyDescent="0.25">
      <c r="A299" s="3" t="s">
        <v>567</v>
      </c>
      <c r="B299" s="3" t="s">
        <v>267</v>
      </c>
      <c r="C299" s="3" t="s">
        <v>49</v>
      </c>
      <c r="D299" s="2" t="str">
        <f>PROPER('RAW DATA'!D299)</f>
        <v>Frank Nzeyimana</v>
      </c>
      <c r="E299" s="3" t="s">
        <v>41</v>
      </c>
      <c r="F299" s="3" t="s">
        <v>42</v>
      </c>
      <c r="G299" s="3" t="s">
        <v>43</v>
      </c>
      <c r="H299" s="3" t="s">
        <v>65</v>
      </c>
      <c r="I299" s="5">
        <f>IFERROR(IF('RAW DATA'!I299="",AVERAGE('RAW DATA'!I$2:I$301),'RAW DATA'!I299),0)</f>
        <v>7</v>
      </c>
      <c r="J299" s="3">
        <v>5.4</v>
      </c>
      <c r="K299" s="3" t="s">
        <v>26</v>
      </c>
      <c r="L299" s="2">
        <f>IFERROR(IF('RAW DATA'!L299="",3,'RAW DATA'!L299),3)</f>
        <v>2</v>
      </c>
      <c r="M299" s="3" t="s">
        <v>59</v>
      </c>
      <c r="N299" s="3" t="s">
        <v>24</v>
      </c>
      <c r="O299" s="3">
        <v>0</v>
      </c>
      <c r="P299" s="3" t="s">
        <v>13</v>
      </c>
      <c r="Q299" s="10" t="s">
        <v>53</v>
      </c>
      <c r="R299" s="3" t="str">
        <f>IFERROR(TEXT('RAW DATA'!B299,"MMMM"),"UKNNOWN")</f>
        <v>December</v>
      </c>
      <c r="S299" s="5">
        <f>IFERROR(MONTH('RAW DATA'!B299),0)</f>
        <v>12</v>
      </c>
      <c r="T299" s="3" t="str">
        <f t="shared" si="8"/>
        <v>Q4</v>
      </c>
      <c r="U299" s="3" t="str">
        <f>IF('RAW DATA'!I299&gt;20,"High",IF('RAW DATA'!I299&gt;10,"Medium","Low"))</f>
        <v>Low</v>
      </c>
      <c r="V299" s="3" t="str">
        <f>IF('RAW DATA'!B299="","Yes","No")</f>
        <v>No</v>
      </c>
      <c r="W299" s="2" t="str">
        <f>IF(COUNTIF(A$2:A598,A299)&gt;1,"Duplicate","OK")</f>
        <v>OK</v>
      </c>
      <c r="X299">
        <f t="shared" si="9"/>
        <v>2</v>
      </c>
    </row>
    <row r="300" spans="1:24" x14ac:dyDescent="0.25">
      <c r="A300" s="2" t="s">
        <v>568</v>
      </c>
      <c r="B300" s="2" t="s">
        <v>569</v>
      </c>
      <c r="C300" s="2" t="s">
        <v>49</v>
      </c>
      <c r="D300" s="2" t="str">
        <f>PROPER('RAW DATA'!D300)</f>
        <v>Frank Nzeyimana</v>
      </c>
      <c r="E300" s="2" t="s">
        <v>41</v>
      </c>
      <c r="F300" s="2" t="s">
        <v>42</v>
      </c>
      <c r="G300" s="2" t="s">
        <v>43</v>
      </c>
      <c r="H300" s="2" t="s">
        <v>95</v>
      </c>
      <c r="I300" s="5">
        <f>IFERROR(IF('RAW DATA'!I300="",AVERAGE('RAW DATA'!I$2:I$301),'RAW DATA'!I300),0)</f>
        <v>4.9000000000000004</v>
      </c>
      <c r="J300" s="2">
        <v>5.4</v>
      </c>
      <c r="K300" s="2" t="s">
        <v>24</v>
      </c>
      <c r="L300" s="2">
        <f>IFERROR(IF('RAW DATA'!L300="",3,'RAW DATA'!L300),3)</f>
        <v>5</v>
      </c>
      <c r="M300" s="2" t="s">
        <v>90</v>
      </c>
      <c r="N300" s="2" t="s">
        <v>26</v>
      </c>
      <c r="O300" s="2">
        <v>0</v>
      </c>
      <c r="P300" s="2" t="s">
        <v>52</v>
      </c>
      <c r="Q300" s="9" t="s">
        <v>53</v>
      </c>
      <c r="R300" s="2" t="str">
        <f>IFERROR(TEXT('RAW DATA'!B300,"MMMM"),"UKNNOWN")</f>
        <v>August</v>
      </c>
      <c r="S300" s="5">
        <f>IFERROR(MONTH('RAW DATA'!B300),0)</f>
        <v>8</v>
      </c>
      <c r="T300" s="2" t="str">
        <f t="shared" si="8"/>
        <v>Q3</v>
      </c>
      <c r="U300" s="2" t="str">
        <f>IF('RAW DATA'!I300&gt;20,"High",IF('RAW DATA'!I300&gt;10,"Medium","Low"))</f>
        <v>Low</v>
      </c>
      <c r="V300" s="2" t="str">
        <f>IF('RAW DATA'!B300="","Yes","No")</f>
        <v>No</v>
      </c>
      <c r="W300" s="2" t="str">
        <f>IF(COUNTIF(A$2:A599,A300)&gt;1,"Duplicate","OK")</f>
        <v>OK</v>
      </c>
      <c r="X300">
        <f t="shared" si="9"/>
        <v>5</v>
      </c>
    </row>
    <row r="301" spans="1:24" x14ac:dyDescent="0.25">
      <c r="A301" s="3" t="s">
        <v>570</v>
      </c>
      <c r="B301" s="3" t="s">
        <v>571</v>
      </c>
      <c r="C301" s="3" t="s">
        <v>18</v>
      </c>
      <c r="D301" s="2" t="str">
        <f>PROPER('RAW DATA'!D301)</f>
        <v>Bob Nshimiyimana</v>
      </c>
      <c r="E301" s="3" t="s">
        <v>20</v>
      </c>
      <c r="F301" s="3" t="s">
        <v>21</v>
      </c>
      <c r="G301" s="3" t="s">
        <v>43</v>
      </c>
      <c r="H301" s="3" t="s">
        <v>65</v>
      </c>
      <c r="I301" s="5">
        <f>IFERROR(IF('RAW DATA'!I301="",AVERAGE('RAW DATA'!I$2:I$301),'RAW DATA'!I301),0)</f>
        <v>10.5</v>
      </c>
      <c r="J301" s="3">
        <v>6.5</v>
      </c>
      <c r="K301" s="3" t="s">
        <v>24</v>
      </c>
      <c r="L301" s="2">
        <f>IFERROR(IF('RAW DATA'!L301="",3,'RAW DATA'!L301),3)</f>
        <v>5</v>
      </c>
      <c r="M301" s="3" t="s">
        <v>25</v>
      </c>
      <c r="N301" s="3" t="s">
        <v>26</v>
      </c>
      <c r="O301" s="3">
        <v>0</v>
      </c>
      <c r="P301" s="3" t="s">
        <v>13</v>
      </c>
      <c r="Q301" s="10" t="s">
        <v>28</v>
      </c>
      <c r="R301" s="3" t="str">
        <f>IFERROR(TEXT('RAW DATA'!B301,"MMMM"),"UKNNOWN")</f>
        <v>March</v>
      </c>
      <c r="S301" s="5">
        <f>IFERROR(MONTH('RAW DATA'!B301),0)</f>
        <v>3</v>
      </c>
      <c r="T301" s="3" t="str">
        <f t="shared" si="8"/>
        <v>Q1</v>
      </c>
      <c r="U301" s="3" t="str">
        <f>IF('RAW DATA'!I301&gt;20,"High",IF('RAW DATA'!I301&gt;10,"Medium","Low"))</f>
        <v>Medium</v>
      </c>
      <c r="V301" s="3" t="str">
        <f>IF('RAW DATA'!B301="","Yes","No")</f>
        <v>No</v>
      </c>
      <c r="W301" s="3" t="str">
        <f>IF(COUNTIF(A$2:A600,A301)&gt;1,"Duplicate","OK")</f>
        <v>OK</v>
      </c>
      <c r="X301">
        <f t="shared" si="9"/>
        <v>5</v>
      </c>
    </row>
  </sheetData>
  <autoFilter ref="A1:W3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A29" zoomScale="85" zoomScaleNormal="85" workbookViewId="0">
      <selection activeCell="C12" sqref="C12"/>
    </sheetView>
  </sheetViews>
  <sheetFormatPr defaultRowHeight="15" x14ac:dyDescent="0.25"/>
  <cols>
    <col min="1" max="5" width="16.85546875" customWidth="1"/>
    <col min="6" max="6" width="11.5703125" bestFit="1" customWidth="1"/>
  </cols>
  <sheetData>
    <row r="1" spans="1:8" ht="30.75" customHeight="1" x14ac:dyDescent="0.25">
      <c r="A1" s="35" t="s">
        <v>578</v>
      </c>
      <c r="B1" s="35"/>
      <c r="C1" s="35"/>
      <c r="D1" s="35"/>
      <c r="E1" s="35"/>
    </row>
    <row r="2" spans="1:8" x14ac:dyDescent="0.25">
      <c r="A2" s="12" t="s">
        <v>4</v>
      </c>
      <c r="B2" s="14" t="s">
        <v>579</v>
      </c>
      <c r="C2" s="14" t="s">
        <v>580</v>
      </c>
      <c r="D2" s="14" t="s">
        <v>581</v>
      </c>
      <c r="E2" s="14" t="s">
        <v>582</v>
      </c>
    </row>
    <row r="3" spans="1:8" x14ac:dyDescent="0.25">
      <c r="A3" s="13" t="s">
        <v>21</v>
      </c>
      <c r="B3" s="15">
        <f>COUNTIF('Cleaned Data '!F$2:F301,Analysis!A3)</f>
        <v>119</v>
      </c>
      <c r="C3" s="15">
        <f>COUNTIFS('Cleaned Data '!F2:F301,Analysis!A3,'Cleaned Data '!K2:K301,"Yes")</f>
        <v>86</v>
      </c>
      <c r="D3" s="15">
        <f>COUNTIFS('Cleaned Data '!F2:F301,Analysis!A3,'Cleaned Data '!K2:K301,"No")</f>
        <v>33</v>
      </c>
      <c r="E3" s="16">
        <f>IFERROR(C3/B3,0)</f>
        <v>0.72268907563025209</v>
      </c>
    </row>
    <row r="4" spans="1:8" x14ac:dyDescent="0.25">
      <c r="A4" s="13" t="s">
        <v>34</v>
      </c>
      <c r="B4" s="15">
        <f>COUNTIF('Cleaned Data '!F$2:F302,Analysis!A4)</f>
        <v>94</v>
      </c>
      <c r="C4" s="15">
        <f>COUNTIFS('Cleaned Data '!F3:F302,Analysis!A4,'Cleaned Data '!K3:K302,"Yes")</f>
        <v>73</v>
      </c>
      <c r="D4" s="15">
        <f>COUNTIFS('Cleaned Data '!F3:F302,Analysis!A4,'Cleaned Data '!K3:K302,"No")</f>
        <v>21</v>
      </c>
      <c r="E4" s="16">
        <f t="shared" ref="E4:E5" si="0">IFERROR(C4/B4,0)</f>
        <v>0.77659574468085102</v>
      </c>
    </row>
    <row r="5" spans="1:8" x14ac:dyDescent="0.25">
      <c r="A5" s="13" t="s">
        <v>42</v>
      </c>
      <c r="B5" s="15">
        <f>COUNTIF('Cleaned Data '!F$2:F303,Analysis!A5)</f>
        <v>87</v>
      </c>
      <c r="C5" s="15">
        <f>COUNTIFS('Cleaned Data '!F4:F303,Analysis!A5,'Cleaned Data '!K4:K303,"Yes")</f>
        <v>65</v>
      </c>
      <c r="D5" s="15">
        <f>COUNTIFS('Cleaned Data '!F4:F303,Analysis!A5,'Cleaned Data '!K4:K303,"No")</f>
        <v>22</v>
      </c>
      <c r="E5" s="16">
        <f t="shared" si="0"/>
        <v>0.74712643678160917</v>
      </c>
    </row>
    <row r="8" spans="1:8" ht="15.75" x14ac:dyDescent="0.25">
      <c r="A8" s="17" t="s">
        <v>583</v>
      </c>
      <c r="B8" s="17"/>
      <c r="C8" s="17"/>
      <c r="D8" s="17"/>
    </row>
    <row r="9" spans="1:8" x14ac:dyDescent="0.25">
      <c r="A9" s="18" t="s">
        <v>584</v>
      </c>
      <c r="B9" s="18" t="s">
        <v>585</v>
      </c>
      <c r="C9" s="18" t="s">
        <v>586</v>
      </c>
      <c r="D9" s="18" t="s">
        <v>587</v>
      </c>
      <c r="H9" t="s">
        <v>613</v>
      </c>
    </row>
    <row r="10" spans="1:8" x14ac:dyDescent="0.25">
      <c r="A10" s="19" t="s">
        <v>23</v>
      </c>
      <c r="B10" s="20">
        <f>IFERROR(AVERAGEIF('Cleaned Data '!H2:H301,Analysis!A10,'Cleaned Data '!L2:L301),0)</f>
        <v>3.9428571428571431</v>
      </c>
      <c r="C10" s="20">
        <f>IFERROR(AVERAGEIF('Cleaned Data '!H$2:H$301,Analysis!A10,'Cleaned Data '!I$2:I$301),0)</f>
        <v>7.6204712812960222</v>
      </c>
      <c r="D10" s="21">
        <f>COUNTIF('Cleaned Data '!H$2:H$4301,Analysis!A10)</f>
        <v>35</v>
      </c>
    </row>
    <row r="11" spans="1:8" x14ac:dyDescent="0.25">
      <c r="A11" s="19" t="s">
        <v>58</v>
      </c>
      <c r="B11" s="20">
        <f>IFERROR(AVERAGEIF('Cleaned Data '!H3:H302,Analysis!A11,'Cleaned Data '!L3:L302),0)</f>
        <v>3.8837209302325579</v>
      </c>
      <c r="C11" s="20">
        <f>IFERROR(AVERAGEIF('Cleaned Data '!H$2:H$301,Analysis!A11,'Cleaned Data '!I$2:I$301),0)</f>
        <v>7.2651162790697681</v>
      </c>
      <c r="D11" s="21">
        <f>COUNTIF('Cleaned Data '!H$2:H$4301,Analysis!A11)</f>
        <v>43</v>
      </c>
    </row>
    <row r="12" spans="1:8" x14ac:dyDescent="0.25">
      <c r="A12" s="19" t="s">
        <v>65</v>
      </c>
      <c r="B12" s="20">
        <f>IFERROR(AVERAGEIF('Cleaned Data '!H4:H303,Analysis!A12,'Cleaned Data '!L4:L303),0)</f>
        <v>4.0263157894736841</v>
      </c>
      <c r="C12" s="20">
        <f>IFERROR(AVERAGEIF('Cleaned Data '!H$2:H$301,Analysis!A12,'Cleaned Data '!I$2:I$301),0)</f>
        <v>7.5054801953336954</v>
      </c>
      <c r="D12" s="21">
        <f>COUNTIF('Cleaned Data '!H$2:H$4301,Analysis!A12)</f>
        <v>38</v>
      </c>
    </row>
    <row r="13" spans="1:8" x14ac:dyDescent="0.25">
      <c r="A13" s="19" t="s">
        <v>72</v>
      </c>
      <c r="B13" s="20">
        <f>IFERROR(AVERAGEIF('Cleaned Data '!H5:H304,Analysis!A13,'Cleaned Data '!L5:L304),0)</f>
        <v>3.6333333333333333</v>
      </c>
      <c r="C13" s="20">
        <f>IFERROR(AVERAGEIF('Cleaned Data '!H$2:H$301,Analysis!A13,'Cleaned Data '!I$2:I$301),0)</f>
        <v>7.6066666666666656</v>
      </c>
      <c r="D13" s="21">
        <f>COUNTIF('Cleaned Data '!H$2:H$4301,Analysis!A13)</f>
        <v>30</v>
      </c>
    </row>
    <row r="14" spans="1:8" x14ac:dyDescent="0.25">
      <c r="A14" s="19" t="s">
        <v>35</v>
      </c>
      <c r="B14" s="20">
        <f>IFERROR(AVERAGEIF('Cleaned Data '!H6:H305,Analysis!A14,'Cleaned Data '!L6:L305),0)</f>
        <v>3.9615384615384617</v>
      </c>
      <c r="C14" s="20">
        <f>IFERROR(AVERAGEIF('Cleaned Data '!H$2:H$301,Analysis!A14,'Cleaned Data '!I$2:I$301),0)</f>
        <v>7.2107142857142863</v>
      </c>
      <c r="D14" s="21">
        <f>COUNTIF('Cleaned Data '!H$2:H$4301,Analysis!A14)</f>
        <v>28</v>
      </c>
    </row>
    <row r="15" spans="1:8" x14ac:dyDescent="0.25">
      <c r="A15" s="19" t="s">
        <v>80</v>
      </c>
      <c r="B15" s="20">
        <f>IFERROR(AVERAGEIF('Cleaned Data '!H7:H306,Analysis!A15,'Cleaned Data '!L7:L306),0)</f>
        <v>3.6956521739130435</v>
      </c>
      <c r="C15" s="20">
        <f>IFERROR(AVERAGEIF('Cleaned Data '!H$2:H$301,Analysis!A15,'Cleaned Data '!I$2:I$301),0)</f>
        <v>8.3566113850291348</v>
      </c>
      <c r="D15" s="21">
        <f>COUNTIF('Cleaned Data '!H$2:H$4301,Analysis!A15)</f>
        <v>46</v>
      </c>
    </row>
    <row r="16" spans="1:8" x14ac:dyDescent="0.25">
      <c r="A16" s="19" t="s">
        <v>44</v>
      </c>
      <c r="B16" s="20">
        <f>IFERROR(AVERAGEIF('Cleaned Data '!H8:H307,Analysis!A16,'Cleaned Data '!L8:L307),0)</f>
        <v>3.8974358974358974</v>
      </c>
      <c r="C16" s="20">
        <f>IFERROR(AVERAGEIF('Cleaned Data '!H$2:H$301,Analysis!A16,'Cleaned Data '!I$2:I$301),0)</f>
        <v>7.7951030927835046</v>
      </c>
      <c r="D16" s="21">
        <f>COUNTIF('Cleaned Data '!H$2:H$4301,Analysis!A16)</f>
        <v>40</v>
      </c>
    </row>
    <row r="17" spans="1:7" x14ac:dyDescent="0.25">
      <c r="A17" s="19" t="s">
        <v>95</v>
      </c>
      <c r="B17" s="20">
        <f>IFERROR(AVERAGEIF('Cleaned Data '!H9:H308,Analysis!A17,'Cleaned Data '!L9:L308),0)</f>
        <v>4.05</v>
      </c>
      <c r="C17" s="20">
        <f>IFERROR(AVERAGEIF('Cleaned Data '!H$2:H$301,Analysis!A17,'Cleaned Data '!I$2:I$301),0)</f>
        <v>7.2651030927835052</v>
      </c>
      <c r="D17" s="21">
        <f>COUNTIF('Cleaned Data '!H$2:H$4301,Analysis!A17)</f>
        <v>40</v>
      </c>
    </row>
    <row r="19" spans="1:7" ht="15.75" x14ac:dyDescent="0.25">
      <c r="A19" s="36" t="s">
        <v>604</v>
      </c>
      <c r="B19" s="36"/>
      <c r="C19" s="36"/>
      <c r="D19" s="36"/>
      <c r="E19" s="36"/>
      <c r="F19" s="36"/>
      <c r="G19" s="36"/>
    </row>
    <row r="20" spans="1:7" x14ac:dyDescent="0.25">
      <c r="A20" s="23" t="s">
        <v>572</v>
      </c>
      <c r="B20" s="23" t="s">
        <v>588</v>
      </c>
      <c r="C20" s="23" t="s">
        <v>589</v>
      </c>
      <c r="D20" s="23" t="s">
        <v>590</v>
      </c>
      <c r="E20" s="23" t="s">
        <v>585</v>
      </c>
      <c r="F20" s="23" t="s">
        <v>586</v>
      </c>
      <c r="G20" s="23" t="s">
        <v>591</v>
      </c>
    </row>
    <row r="21" spans="1:7" x14ac:dyDescent="0.25">
      <c r="A21" s="19" t="s">
        <v>592</v>
      </c>
      <c r="B21" s="21">
        <f>IFERROR(COUNTIF('Cleaned Data '!R2:R301,Analysis!A21),0)</f>
        <v>33</v>
      </c>
      <c r="C21" s="21">
        <f>IFERROR(COUNTIFS('Cleaned Data '!R$2:R$301,Analysis!A21,'Cleaned Data '!K$2:K$301,"Yes"),0)</f>
        <v>24</v>
      </c>
      <c r="D21" s="24">
        <f>C21/B21</f>
        <v>0.72727272727272729</v>
      </c>
      <c r="E21" s="22">
        <f>IFERROR(AVERAGEIF('Cleaned Data '!R2:R301,Analysis!A21,'Cleaned Data '!L2:L301),0)</f>
        <v>3.8181818181818183</v>
      </c>
      <c r="F21" s="22">
        <f>IFERROR(AVERAGEIF('Cleaned Data '!R2:R301,Analysis!A21,'Cleaned Data '!I2:I301),0)</f>
        <v>7.1306779131521418</v>
      </c>
      <c r="G21" s="21">
        <f>IFERROR(COUNTIFS('Cleaned Data '!R2:R301,Analysis!A21,'Cleaned Data '!N2:N301,"Yes"),0)</f>
        <v>5</v>
      </c>
    </row>
    <row r="22" spans="1:7" x14ac:dyDescent="0.25">
      <c r="A22" s="19" t="s">
        <v>593</v>
      </c>
      <c r="B22" s="21">
        <f>IFERROR(COUNTIF('Cleaned Data '!R3:R302,Analysis!A22),0)</f>
        <v>32</v>
      </c>
      <c r="C22" s="21">
        <f>IFERROR(COUNTIFS('Cleaned Data '!R$2:R$301,Analysis!A22,'Cleaned Data '!K$2:K$301,"Yes"),0)</f>
        <v>22</v>
      </c>
      <c r="D22" s="24">
        <f t="shared" ref="D22:D32" si="1">C22/B22</f>
        <v>0.6875</v>
      </c>
      <c r="E22" s="22">
        <f>IFERROR(AVERAGEIF('Cleaned Data '!R3:R302,Analysis!A22,'Cleaned Data '!L3:L302),0)</f>
        <v>3.71875</v>
      </c>
      <c r="F22" s="22">
        <f>IFERROR(AVERAGEIF('Cleaned Data '!R3:R302,Analysis!A22,'Cleaned Data '!I3:I302),0)</f>
        <v>6.9876288659793815</v>
      </c>
      <c r="G22" s="21">
        <f>IFERROR(COUNTIFS('Cleaned Data '!R3:R302,Analysis!A22,'Cleaned Data '!N3:N302,"Yes"),0)</f>
        <v>5</v>
      </c>
    </row>
    <row r="23" spans="1:7" x14ac:dyDescent="0.25">
      <c r="A23" s="19" t="s">
        <v>594</v>
      </c>
      <c r="B23" s="21">
        <f>IFERROR(COUNTIF('Cleaned Data '!R4:R303,Analysis!A23),0)</f>
        <v>20</v>
      </c>
      <c r="C23" s="21">
        <f>IFERROR(COUNTIFS('Cleaned Data '!R$2:R$301,Analysis!A23,'Cleaned Data '!K$2:K$301,"Yes"),0)</f>
        <v>17</v>
      </c>
      <c r="D23" s="24">
        <f t="shared" si="1"/>
        <v>0.85</v>
      </c>
      <c r="E23" s="22">
        <f>IFERROR(AVERAGEIF('Cleaned Data '!R4:R303,Analysis!A23,'Cleaned Data '!L4:L303),0)</f>
        <v>4.0999999999999996</v>
      </c>
      <c r="F23" s="22">
        <f>IFERROR(AVERAGEIF('Cleaned Data '!R4:R303,Analysis!A23,'Cleaned Data '!I4:I303),0)</f>
        <v>8.0500000000000007</v>
      </c>
      <c r="G23" s="21">
        <f>IFERROR(COUNTIFS('Cleaned Data '!R4:R303,Analysis!A23,'Cleaned Data '!N4:N303,"Yes"),0)</f>
        <v>2</v>
      </c>
    </row>
    <row r="24" spans="1:7" x14ac:dyDescent="0.25">
      <c r="A24" s="19" t="s">
        <v>595</v>
      </c>
      <c r="B24" s="21">
        <f>IFERROR(COUNTIF('Cleaned Data '!R5:R304,Analysis!A24),0)</f>
        <v>23</v>
      </c>
      <c r="C24" s="21">
        <f>IFERROR(COUNTIFS('Cleaned Data '!R$2:R$301,Analysis!A24,'Cleaned Data '!K$2:K$301,"Yes"),0)</f>
        <v>16</v>
      </c>
      <c r="D24" s="24">
        <f t="shared" si="1"/>
        <v>0.69565217391304346</v>
      </c>
      <c r="E24" s="22">
        <f>IFERROR(AVERAGEIF('Cleaned Data '!R5:R304,Analysis!A24,'Cleaned Data '!L5:L304),0)</f>
        <v>3.8260869565217392</v>
      </c>
      <c r="F24" s="22">
        <f>IFERROR(AVERAGEIF('Cleaned Data '!R5:R304,Analysis!A24,'Cleaned Data '!I5:I304),0)</f>
        <v>7.7217391304347824</v>
      </c>
      <c r="G24" s="21">
        <f>IFERROR(COUNTIFS('Cleaned Data '!R5:R304,Analysis!A24,'Cleaned Data '!N5:N304,"Yes"),0)</f>
        <v>3</v>
      </c>
    </row>
    <row r="25" spans="1:7" x14ac:dyDescent="0.25">
      <c r="A25" s="19" t="s">
        <v>596</v>
      </c>
      <c r="B25" s="21">
        <f>IFERROR(COUNTIF('Cleaned Data '!R6:R305,Analysis!A25),0)</f>
        <v>32</v>
      </c>
      <c r="C25" s="21">
        <f>IFERROR(COUNTIFS('Cleaned Data '!R$2:R$301,Analysis!A25,'Cleaned Data '!K$2:K$301,"Yes"),0)</f>
        <v>24</v>
      </c>
      <c r="D25" s="24">
        <f t="shared" si="1"/>
        <v>0.75</v>
      </c>
      <c r="E25" s="22">
        <f>IFERROR(AVERAGEIF('Cleaned Data '!R6:R305,Analysis!A25,'Cleaned Data '!L6:L305),0)</f>
        <v>3.75</v>
      </c>
      <c r="F25" s="22">
        <f>IFERROR(AVERAGEIF('Cleaned Data '!R6:R305,Analysis!A25,'Cleaned Data '!I6:I305),0)</f>
        <v>7.7190077319587642</v>
      </c>
      <c r="G25" s="21">
        <f>IFERROR(COUNTIFS('Cleaned Data '!R6:R305,Analysis!A25,'Cleaned Data '!N6:N305,"Yes"),0)</f>
        <v>4</v>
      </c>
    </row>
    <row r="26" spans="1:7" x14ac:dyDescent="0.25">
      <c r="A26" s="19" t="s">
        <v>597</v>
      </c>
      <c r="B26" s="21">
        <f>IFERROR(COUNTIF('Cleaned Data '!R7:R306,Analysis!A26),0)</f>
        <v>17</v>
      </c>
      <c r="C26" s="21">
        <f>IFERROR(COUNTIFS('Cleaned Data '!R$2:R$301,Analysis!A26,'Cleaned Data '!K$2:K$301,"Yes"),0)</f>
        <v>14</v>
      </c>
      <c r="D26" s="24">
        <f t="shared" si="1"/>
        <v>0.82352941176470584</v>
      </c>
      <c r="E26" s="22">
        <f>IFERROR(AVERAGEIF('Cleaned Data '!R7:R306,Analysis!A26,'Cleaned Data '!L7:L306),0)</f>
        <v>3.8823529411764706</v>
      </c>
      <c r="F26" s="22">
        <f>IFERROR(AVERAGEIF('Cleaned Data '!R7:R306,Analysis!A26,'Cleaned Data '!I7:I306),0)</f>
        <v>7.4117647058823541</v>
      </c>
      <c r="G26" s="21">
        <f>IFERROR(COUNTIFS('Cleaned Data '!R7:R306,Analysis!A26,'Cleaned Data '!N7:N306,"Yes"),0)</f>
        <v>2</v>
      </c>
    </row>
    <row r="27" spans="1:7" x14ac:dyDescent="0.25">
      <c r="A27" s="19" t="s">
        <v>598</v>
      </c>
      <c r="B27" s="21">
        <f>IFERROR(COUNTIF('Cleaned Data '!R8:R307,Analysis!A27),0)</f>
        <v>34</v>
      </c>
      <c r="C27" s="21">
        <f>IFERROR(COUNTIFS('Cleaned Data '!R$2:R$301,Analysis!A27,'Cleaned Data '!K$2:K$301,"Yes"),0)</f>
        <v>29</v>
      </c>
      <c r="D27" s="24">
        <f t="shared" si="1"/>
        <v>0.8529411764705882</v>
      </c>
      <c r="E27" s="22">
        <f>IFERROR(AVERAGEIF('Cleaned Data '!R8:R307,Analysis!A27,'Cleaned Data '!L8:L307),0)</f>
        <v>4.1470588235294121</v>
      </c>
      <c r="F27" s="22">
        <f>IFERROR(AVERAGEIF('Cleaned Data '!R8:R307,Analysis!A27,'Cleaned Data '!I8:I307),0)</f>
        <v>7.7176470588235286</v>
      </c>
      <c r="G27" s="21">
        <f>IFERROR(COUNTIFS('Cleaned Data '!R8:R307,Analysis!A27,'Cleaned Data '!N8:N307,"Yes"),0)</f>
        <v>3</v>
      </c>
    </row>
    <row r="28" spans="1:7" x14ac:dyDescent="0.25">
      <c r="A28" s="19" t="s">
        <v>599</v>
      </c>
      <c r="B28" s="21">
        <f>IFERROR(COUNTIF('Cleaned Data '!R9:R308,Analysis!A28),0)</f>
        <v>18</v>
      </c>
      <c r="C28" s="21">
        <f>IFERROR(COUNTIFS('Cleaned Data '!R$2:R$301,Analysis!A28,'Cleaned Data '!K$2:K$301,"Yes"),0)</f>
        <v>14</v>
      </c>
      <c r="D28" s="24">
        <f t="shared" si="1"/>
        <v>0.77777777777777779</v>
      </c>
      <c r="E28" s="22">
        <f>IFERROR(AVERAGEIF('Cleaned Data '!R9:R308,Analysis!A28,'Cleaned Data '!L9:L308),0)</f>
        <v>4.2222222222222223</v>
      </c>
      <c r="F28" s="22">
        <f>IFERROR(AVERAGEIF('Cleaned Data '!R9:R308,Analysis!A28,'Cleaned Data '!I9:I308),0)</f>
        <v>7.9722222222222241</v>
      </c>
      <c r="G28" s="21">
        <f>IFERROR(COUNTIFS('Cleaned Data '!R9:R308,Analysis!A28,'Cleaned Data '!N9:N308,"Yes"),0)</f>
        <v>2</v>
      </c>
    </row>
    <row r="29" spans="1:7" x14ac:dyDescent="0.25">
      <c r="A29" s="19" t="s">
        <v>600</v>
      </c>
      <c r="B29" s="21">
        <f>IFERROR(COUNTIF('Cleaned Data '!R10:R309,Analysis!A29),0)</f>
        <v>21</v>
      </c>
      <c r="C29" s="21">
        <f>IFERROR(COUNTIFS('Cleaned Data '!R$2:R$301,Analysis!A29,'Cleaned Data '!K$2:K$301,"Yes"),0)</f>
        <v>13</v>
      </c>
      <c r="D29" s="24">
        <f t="shared" si="1"/>
        <v>0.61904761904761907</v>
      </c>
      <c r="E29" s="22">
        <f>IFERROR(AVERAGEIF('Cleaned Data '!R10:R309,Analysis!A29,'Cleaned Data '!L10:L309),0)</f>
        <v>3.7142857142857144</v>
      </c>
      <c r="F29" s="22">
        <f>IFERROR(AVERAGEIF('Cleaned Data '!R10:R309,Analysis!A29,'Cleaned Data '!I10:I309),0)</f>
        <v>8.1478154148257254</v>
      </c>
      <c r="G29" s="21">
        <f>IFERROR(COUNTIFS('Cleaned Data '!R10:R309,Analysis!A29,'Cleaned Data '!N10:N309,"Yes"),0)</f>
        <v>4</v>
      </c>
    </row>
    <row r="30" spans="1:7" x14ac:dyDescent="0.25">
      <c r="A30" s="19" t="s">
        <v>601</v>
      </c>
      <c r="B30" s="21">
        <f>IFERROR(COUNTIF('Cleaned Data '!R11:R310,Analysis!A30),0)</f>
        <v>32</v>
      </c>
      <c r="C30" s="21">
        <f>IFERROR(COUNTIFS('Cleaned Data '!R$2:R$301,Analysis!A30,'Cleaned Data '!K$2:K$301,"Yes"),0)</f>
        <v>24</v>
      </c>
      <c r="D30" s="24">
        <f t="shared" si="1"/>
        <v>0.75</v>
      </c>
      <c r="E30" s="22">
        <f>IFERROR(AVERAGEIF('Cleaned Data '!R11:R310,Analysis!A30,'Cleaned Data '!L11:L310),0)</f>
        <v>3.5625</v>
      </c>
      <c r="F30" s="22">
        <f>IFERROR(AVERAGEIF('Cleaned Data '!R11:R310,Analysis!A30,'Cleaned Data '!I11:I310),0)</f>
        <v>7.6500000000000012</v>
      </c>
      <c r="G30" s="21">
        <f>IFERROR(COUNTIFS('Cleaned Data '!R11:R310,Analysis!A30,'Cleaned Data '!N11:N310,"Yes"),0)</f>
        <v>1</v>
      </c>
    </row>
    <row r="31" spans="1:7" x14ac:dyDescent="0.25">
      <c r="A31" s="19" t="s">
        <v>602</v>
      </c>
      <c r="B31" s="21">
        <f>IFERROR(COUNTIF('Cleaned Data '!R12:R311,Analysis!A31),0)</f>
        <v>16</v>
      </c>
      <c r="C31" s="21">
        <f>IFERROR(COUNTIFS('Cleaned Data '!R$2:R$301,Analysis!A31,'Cleaned Data '!K$2:K$301,"Yes"),0)</f>
        <v>13</v>
      </c>
      <c r="D31" s="24">
        <f t="shared" si="1"/>
        <v>0.8125</v>
      </c>
      <c r="E31" s="22">
        <f>IFERROR(AVERAGEIF('Cleaned Data '!R12:R311,Analysis!A31,'Cleaned Data '!L12:L311),0)</f>
        <v>4</v>
      </c>
      <c r="F31" s="22">
        <f>IFERROR(AVERAGEIF('Cleaned Data '!R12:R311,Analysis!A31,'Cleaned Data '!I12:I311),0)</f>
        <v>7.7755154639175252</v>
      </c>
      <c r="G31" s="21">
        <f>IFERROR(COUNTIFS('Cleaned Data '!R12:R311,Analysis!A31,'Cleaned Data '!N12:N311,"Yes"),0)</f>
        <v>0</v>
      </c>
    </row>
    <row r="32" spans="1:7" x14ac:dyDescent="0.25">
      <c r="A32" s="19" t="s">
        <v>603</v>
      </c>
      <c r="B32" s="21">
        <f>IFERROR(COUNTIF('Cleaned Data '!R13:R312,Analysis!A32),0)</f>
        <v>20</v>
      </c>
      <c r="C32" s="21">
        <f>IFERROR(COUNTIFS('Cleaned Data '!R$2:R$301,Analysis!A32,'Cleaned Data '!K$2:K$301,"Yes"),0)</f>
        <v>14</v>
      </c>
      <c r="D32" s="24">
        <f t="shared" si="1"/>
        <v>0.7</v>
      </c>
      <c r="E32" s="22">
        <f>IFERROR(AVERAGEIF('Cleaned Data '!R13:R312,Analysis!A32,'Cleaned Data '!L13:L312),0)</f>
        <v>4.2</v>
      </c>
      <c r="F32" s="22">
        <f>IFERROR(AVERAGEIF('Cleaned Data '!R13:R312,Analysis!A32,'Cleaned Data '!I13:I312),0)</f>
        <v>7.62</v>
      </c>
      <c r="G32" s="21">
        <f>IFERROR(COUNTIFS('Cleaned Data '!R13:R312,Analysis!A32,'Cleaned Data '!N13:N312,"Yes"),0)</f>
        <v>3</v>
      </c>
    </row>
    <row r="34" spans="1:8" ht="15.75" x14ac:dyDescent="0.25">
      <c r="A34" s="34" t="s">
        <v>609</v>
      </c>
      <c r="B34" s="34"/>
      <c r="C34" s="34"/>
      <c r="D34" s="34"/>
      <c r="E34" s="34"/>
      <c r="F34" s="34"/>
      <c r="G34" s="34"/>
      <c r="H34" s="34"/>
    </row>
    <row r="35" spans="1:8" x14ac:dyDescent="0.25">
      <c r="A35" s="23" t="s">
        <v>605</v>
      </c>
      <c r="B35" s="23" t="s">
        <v>606</v>
      </c>
      <c r="C35" s="23" t="s">
        <v>579</v>
      </c>
      <c r="D35" s="23" t="s">
        <v>590</v>
      </c>
      <c r="E35" s="23" t="s">
        <v>585</v>
      </c>
      <c r="F35" s="23" t="s">
        <v>586</v>
      </c>
      <c r="G35" s="23" t="s">
        <v>607</v>
      </c>
      <c r="H35" s="23" t="s">
        <v>608</v>
      </c>
    </row>
    <row r="36" spans="1:8" x14ac:dyDescent="0.25">
      <c r="A36" s="27" t="s">
        <v>105</v>
      </c>
      <c r="B36" s="28" t="s">
        <v>106</v>
      </c>
      <c r="C36" s="21">
        <f>IFERROR(COUNTIF('Cleaned Data '!D$2:D$301,Analysis!B36),0)</f>
        <v>26</v>
      </c>
      <c r="D36" s="24">
        <f>IFERROR(COUNTIFS('Cleaned Data '!D$2:D$301,Analysis!B36,'Cleaned Data '!K$2:K$301,"Yes"),0)/C36</f>
        <v>0.61538461538461542</v>
      </c>
      <c r="E36" s="20">
        <f>IFERROR(AVERAGEIF('Cleaned Data '!D$2:D$301,Analysis!B36,'Cleaned Data '!L$2:L$301),0)</f>
        <v>3.6538461538461537</v>
      </c>
      <c r="F36" s="20">
        <f>IFERROR(AVERAGEIF('Cleaned Data '!D$2:D$301,Analysis!B36,'Cleaned Data '!I$2:I$301),0)</f>
        <v>8.1770816812053955</v>
      </c>
      <c r="G36" s="24">
        <f>IFERROR(COUNTIFS('Cleaned Data '!D$2:D$301,Analysis!B36,'Cleaned Data '!N$2:N$301,"Yes"),0)/C36</f>
        <v>0.26923076923076922</v>
      </c>
      <c r="H36" s="21"/>
    </row>
    <row r="37" spans="1:8" x14ac:dyDescent="0.25">
      <c r="A37" s="29" t="s">
        <v>18</v>
      </c>
      <c r="B37" s="30" t="s">
        <v>122</v>
      </c>
      <c r="C37" s="21">
        <f>IFERROR(COUNTIF('Cleaned Data '!D$2:D$301,Analysis!B37),0)</f>
        <v>37</v>
      </c>
      <c r="D37" s="24">
        <f>IFERROR(COUNTIFS('Cleaned Data '!D$2:D$301,Analysis!B37,'Cleaned Data '!K$2:K$301,"Yes"),0)/C37</f>
        <v>0.67567567567567566</v>
      </c>
      <c r="E37" s="20">
        <f>IFERROR(AVERAGEIF('Cleaned Data '!D$2:D$301,Analysis!B37,'Cleaned Data '!L$2:L$301),0)</f>
        <v>3.5945945945945947</v>
      </c>
      <c r="F37" s="20">
        <f>IFERROR(AVERAGEIF('Cleaned Data '!D$2:D$301,Analysis!B37,'Cleaned Data '!I$2:I$301),0)</f>
        <v>7.2811925327389249</v>
      </c>
      <c r="G37" s="24">
        <f>IFERROR(COUNTIFS('Cleaned Data '!D$2:D$301,Analysis!B37,'Cleaned Data '!N$2:N$301,"Yes"),0)/C37</f>
        <v>0.13513513513513514</v>
      </c>
      <c r="H37" s="21"/>
    </row>
    <row r="38" spans="1:8" x14ac:dyDescent="0.25">
      <c r="A38" s="27" t="s">
        <v>70</v>
      </c>
      <c r="B38" s="28" t="s">
        <v>71</v>
      </c>
      <c r="C38" s="21">
        <f>IFERROR(COUNTIF('Cleaned Data '!D$2:D$301,Analysis!B38),0)</f>
        <v>33</v>
      </c>
      <c r="D38" s="24">
        <f>IFERROR(COUNTIFS('Cleaned Data '!D$2:D$301,Analysis!B38,'Cleaned Data '!K$2:K$301,"Yes"),0)/C38</f>
        <v>0.72727272727272729</v>
      </c>
      <c r="E38" s="20">
        <f>IFERROR(AVERAGEIF('Cleaned Data '!D$2:D$301,Analysis!B38,'Cleaned Data '!L$2:L$301),0)</f>
        <v>4.0303030303030303</v>
      </c>
      <c r="F38" s="20">
        <f>IFERROR(AVERAGEIF('Cleaned Data '!D$2:D$301,Analysis!B38,'Cleaned Data '!I$2:I$301),0)</f>
        <v>7.7060606060606043</v>
      </c>
      <c r="G38" s="24">
        <f>IFERROR(COUNTIFS('Cleaned Data '!D$2:D$301,Analysis!B38,'Cleaned Data '!N$2:N$301,"Yes"),0)/C38</f>
        <v>6.0606060606060608E-2</v>
      </c>
      <c r="H38" s="21"/>
    </row>
    <row r="39" spans="1:8" x14ac:dyDescent="0.25">
      <c r="A39" s="29" t="s">
        <v>31</v>
      </c>
      <c r="B39" s="30" t="s">
        <v>32</v>
      </c>
      <c r="C39" s="21">
        <f>IFERROR(COUNTIF('Cleaned Data '!D$2:D$301,Analysis!B39),0)</f>
        <v>33</v>
      </c>
      <c r="D39" s="24">
        <f>IFERROR(COUNTIFS('Cleaned Data '!D$2:D$301,Analysis!B39,'Cleaned Data '!K$2:K$301,"Yes"),0)/C39</f>
        <v>0.75757575757575757</v>
      </c>
      <c r="E39" s="20">
        <f>IFERROR(AVERAGEIF('Cleaned Data '!D$2:D$301,Analysis!B39,'Cleaned Data '!L$2:L$301),0)</f>
        <v>3.8484848484848486</v>
      </c>
      <c r="F39" s="20">
        <f>IFERROR(AVERAGEIF('Cleaned Data '!D$2:D$301,Analysis!B39,'Cleaned Data '!I$2:I$301),0)</f>
        <v>7.7727272727272725</v>
      </c>
      <c r="G39" s="24">
        <f>IFERROR(COUNTIFS('Cleaned Data '!D$2:D$301,Analysis!B39,'Cleaned Data '!N$2:N$301,"Yes"),0)/C39</f>
        <v>0.12121212121212122</v>
      </c>
      <c r="H39" s="21"/>
    </row>
    <row r="40" spans="1:8" x14ac:dyDescent="0.25">
      <c r="A40" s="27" t="s">
        <v>78</v>
      </c>
      <c r="B40" s="28" t="s">
        <v>79</v>
      </c>
      <c r="C40" s="21">
        <f>IFERROR(COUNTIF('Cleaned Data '!D$2:D$301,Analysis!B40),0)</f>
        <v>28</v>
      </c>
      <c r="D40" s="24">
        <f>IFERROR(COUNTIFS('Cleaned Data '!D$2:D$301,Analysis!B40,'Cleaned Data '!K$2:K$301,"Yes"),0)/C40</f>
        <v>0.8214285714285714</v>
      </c>
      <c r="E40" s="20">
        <f>IFERROR(AVERAGEIF('Cleaned Data '!D$2:D$301,Analysis!B40,'Cleaned Data '!L$2:L$301),0)</f>
        <v>4.0357142857142856</v>
      </c>
      <c r="F40" s="20">
        <f>IFERROR(AVERAGEIF('Cleaned Data '!D$2:D$301,Analysis!B40,'Cleaned Data '!I$2:I$301),0)</f>
        <v>7.6965758468335794</v>
      </c>
      <c r="G40" s="24">
        <f>IFERROR(COUNTIFS('Cleaned Data '!D$2:D$301,Analysis!B40,'Cleaned Data '!N$2:N$301,"Yes"),0)/C40</f>
        <v>0.10714285714285714</v>
      </c>
      <c r="H40" s="21"/>
    </row>
    <row r="41" spans="1:8" x14ac:dyDescent="0.25">
      <c r="A41" s="29" t="s">
        <v>49</v>
      </c>
      <c r="B41" s="30" t="s">
        <v>50</v>
      </c>
      <c r="C41" s="21">
        <f>IFERROR(COUNTIF('Cleaned Data '!D$2:D$301,Analysis!B41),0)</f>
        <v>28</v>
      </c>
      <c r="D41" s="24">
        <f>IFERROR(COUNTIFS('Cleaned Data '!D$2:D$301,Analysis!B41,'Cleaned Data '!K$2:K$301,"Yes"),0)/C41</f>
        <v>0.8214285714285714</v>
      </c>
      <c r="E41" s="20">
        <f>IFERROR(AVERAGEIF('Cleaned Data '!D$2:D$301,Analysis!B41,'Cleaned Data '!L$2:L$301),0)</f>
        <v>3.9285714285714284</v>
      </c>
      <c r="F41" s="20">
        <f>IFERROR(AVERAGEIF('Cleaned Data '!D$2:D$301,Analysis!B41,'Cleaned Data '!I$2:I$301),0)</f>
        <v>6.8785714285714272</v>
      </c>
      <c r="G41" s="24">
        <f>IFERROR(COUNTIFS('Cleaned Data '!D$2:D$301,Analysis!B41,'Cleaned Data '!N$2:N$301,"Yes"),0)/C41</f>
        <v>0.10714285714285714</v>
      </c>
      <c r="H41" s="21"/>
    </row>
    <row r="42" spans="1:8" x14ac:dyDescent="0.25">
      <c r="A42" s="27" t="s">
        <v>39</v>
      </c>
      <c r="B42" s="28" t="s">
        <v>40</v>
      </c>
      <c r="C42" s="21">
        <f>IFERROR(COUNTIF('Cleaned Data '!D$2:D$301,Analysis!B42),0)</f>
        <v>28</v>
      </c>
      <c r="D42" s="24">
        <f>IFERROR(COUNTIFS('Cleaned Data '!D$2:D$301,Analysis!B42,'Cleaned Data '!K$2:K$301,"Yes"),0)/C42</f>
        <v>0.7142857142857143</v>
      </c>
      <c r="E42" s="20">
        <f>IFERROR(AVERAGEIF('Cleaned Data '!D$2:D$301,Analysis!B42,'Cleaned Data '!L$2:L$301),0)</f>
        <v>3.9642857142857144</v>
      </c>
      <c r="F42" s="20">
        <f>IFERROR(AVERAGEIF('Cleaned Data '!D$2:D$301,Analysis!B42,'Cleaned Data '!I$2:I$301),0)</f>
        <v>7.0465758468335791</v>
      </c>
      <c r="G42" s="24">
        <f>IFERROR(COUNTIFS('Cleaned Data '!D$2:D$301,Analysis!B42,'Cleaned Data '!N$2:N$301,"Yes"),0)/C42</f>
        <v>7.1428571428571425E-2</v>
      </c>
      <c r="H42" s="21"/>
    </row>
    <row r="43" spans="1:8" x14ac:dyDescent="0.25">
      <c r="A43" s="29" t="s">
        <v>63</v>
      </c>
      <c r="B43" s="30" t="s">
        <v>64</v>
      </c>
      <c r="C43" s="21">
        <f>IFERROR(COUNTIF('Cleaned Data '!D$2:D$301,Analysis!B43),0)</f>
        <v>28</v>
      </c>
      <c r="D43" s="24">
        <f>IFERROR(COUNTIFS('Cleaned Data '!D$2:D$301,Analysis!B43,'Cleaned Data '!K$2:K$301,"Yes"),0)/C43</f>
        <v>0.8571428571428571</v>
      </c>
      <c r="E43" s="20">
        <f>IFERROR(AVERAGEIF('Cleaned Data '!D$2:D$301,Analysis!B43,'Cleaned Data '!L$2:L$301),0)</f>
        <v>4.2857142857142856</v>
      </c>
      <c r="F43" s="20">
        <f>IFERROR(AVERAGEIF('Cleaned Data '!D$2:D$301,Analysis!B43,'Cleaned Data '!I$2:I$301),0)</f>
        <v>8.107584683357878</v>
      </c>
      <c r="G43" s="24">
        <f>IFERROR(COUNTIFS('Cleaned Data '!D$2:D$301,Analysis!B43,'Cleaned Data '!N$2:N$301,"Yes"),0)/C43</f>
        <v>7.1428571428571425E-2</v>
      </c>
      <c r="H43" s="21"/>
    </row>
    <row r="44" spans="1:8" x14ac:dyDescent="0.25">
      <c r="A44" s="27" t="s">
        <v>85</v>
      </c>
      <c r="B44" s="28" t="s">
        <v>86</v>
      </c>
      <c r="C44" s="21">
        <f>IFERROR(COUNTIF('Cleaned Data '!D$2:D$301,Analysis!B44),0)</f>
        <v>28</v>
      </c>
      <c r="D44" s="24">
        <f>IFERROR(COUNTIFS('Cleaned Data '!D$2:D$301,Analysis!B44,'Cleaned Data '!K$2:K$301,"Yes"),0)/C44</f>
        <v>0.7857142857142857</v>
      </c>
      <c r="E44" s="20">
        <f>IFERROR(AVERAGEIF('Cleaned Data '!D$2:D$301,Analysis!B44,'Cleaned Data '!L$2:L$301),0)</f>
        <v>3.8214285714285716</v>
      </c>
      <c r="F44" s="20">
        <f>IFERROR(AVERAGEIF('Cleaned Data '!D$2:D$301,Analysis!B44,'Cleaned Data '!I$2:I$301),0)</f>
        <v>7.2107142857142881</v>
      </c>
      <c r="G44" s="24">
        <f>IFERROR(COUNTIFS('Cleaned Data '!D$2:D$301,Analysis!B44,'Cleaned Data '!N$2:N$301,"Yes"),0)/C44</f>
        <v>7.1428571428571425E-2</v>
      </c>
      <c r="H44" s="21"/>
    </row>
    <row r="45" spans="1:8" x14ac:dyDescent="0.25">
      <c r="A45" s="29" t="s">
        <v>56</v>
      </c>
      <c r="B45" s="30" t="s">
        <v>57</v>
      </c>
      <c r="C45" s="21">
        <f>IFERROR(COUNTIF('Cleaned Data '!D$2:D$301,Analysis!B45),0)</f>
        <v>31</v>
      </c>
      <c r="D45" s="24">
        <f>IFERROR(COUNTIFS('Cleaned Data '!D$2:D$301,Analysis!B45,'Cleaned Data '!K$2:K$301,"Yes"),0)/C45</f>
        <v>0.70967741935483875</v>
      </c>
      <c r="E45" s="20">
        <f>IFERROR(AVERAGEIF('Cleaned Data '!D$2:D$301,Analysis!B45,'Cleaned Data '!L$2:L$301),0)</f>
        <v>3.838709677419355</v>
      </c>
      <c r="F45" s="20">
        <f>IFERROR(AVERAGEIF('Cleaned Data '!D$2:D$301,Analysis!B45,'Cleaned Data '!I$2:I$301),0)</f>
        <v>8.1970402394413053</v>
      </c>
      <c r="G45" s="24">
        <f>IFERROR(COUNTIFS('Cleaned Data '!D$2:D$301,Analysis!B45,'Cleaned Data '!N$2:N$301,"Yes"),0)/C45</f>
        <v>0.12903225806451613</v>
      </c>
      <c r="H45" s="21"/>
    </row>
    <row r="47" spans="1:8" ht="15.75" x14ac:dyDescent="0.25">
      <c r="A47" s="37" t="s">
        <v>610</v>
      </c>
      <c r="B47" s="37"/>
      <c r="C47" s="37"/>
      <c r="D47" s="37"/>
      <c r="E47" s="37"/>
      <c r="F47" s="37"/>
    </row>
    <row r="48" spans="1:8" x14ac:dyDescent="0.25">
      <c r="A48" s="31" t="s">
        <v>611</v>
      </c>
      <c r="B48" s="31" t="s">
        <v>579</v>
      </c>
      <c r="C48" s="31" t="s">
        <v>585</v>
      </c>
      <c r="D48" s="31" t="s">
        <v>590</v>
      </c>
      <c r="E48" s="31" t="s">
        <v>612</v>
      </c>
      <c r="F48" s="31" t="s">
        <v>586</v>
      </c>
    </row>
    <row r="49" spans="1:6" x14ac:dyDescent="0.25">
      <c r="A49" s="32" t="s">
        <v>43</v>
      </c>
      <c r="B49">
        <f>IFERROR(COUNTIF('Cleaned Data '!G$2:G$301,Analysis!A49),0)</f>
        <v>172</v>
      </c>
      <c r="C49" s="26">
        <f>IFERROR(AVERAGEIF('Cleaned Data '!G$2:G$301,Analysis!A49,'Cleaned Data '!L$2:L$301),0)</f>
        <v>3.8372093023255816</v>
      </c>
      <c r="D49" s="25">
        <f>IFERROR(COUNTIFS('Cleaned Data '!G$2:G$301,Analysis!A49,'Cleaned Data '!K2:K301,"Yes"),0)/B49</f>
        <v>0.7441860465116279</v>
      </c>
      <c r="E49">
        <f>IFERROR(AVERAGEIF('Cleaned Data '!G$2:G$301,Analysis!A49,'Cleaned Data '!J$2:J$301),0)</f>
        <v>4.3226744186046497</v>
      </c>
      <c r="F49" s="26">
        <f>IFERROR(AVERAGEIF('Cleaned Data '!G$2:G$301,Analysis!A49,'Cleaned Data '!I$2:I$301),0)</f>
        <v>7.6006772956125692</v>
      </c>
    </row>
    <row r="50" spans="1:6" x14ac:dyDescent="0.25">
      <c r="A50" s="33" t="s">
        <v>22</v>
      </c>
      <c r="B50">
        <f>IFERROR(COUNTIF('Cleaned Data '!G$2:G$301,Analysis!A50),0)</f>
        <v>71</v>
      </c>
      <c r="C50" s="26">
        <f>IFERROR(AVERAGEIF('Cleaned Data '!G$2:G$301,Analysis!A50,'Cleaned Data '!L$2:L$301),0)</f>
        <v>4.028169014084507</v>
      </c>
      <c r="D50" s="25">
        <f>IFERROR(COUNTIFS('Cleaned Data '!G$2:G$301,Analysis!A50,'Cleaned Data '!K3:K302,"Yes"),0)/B50</f>
        <v>0.77464788732394363</v>
      </c>
      <c r="E50">
        <f>IFERROR(AVERAGEIF('Cleaned Data '!G$2:G$301,Analysis!A50,'Cleaned Data '!J$2:J$301),0)</f>
        <v>4.1915492957746494</v>
      </c>
      <c r="F50" s="26">
        <f>IFERROR(AVERAGEIF('Cleaned Data '!G$2:G$301,Analysis!A50,'Cleaned Data '!I$2:I$301),0)</f>
        <v>7.4818643821693058</v>
      </c>
    </row>
    <row r="51" spans="1:6" x14ac:dyDescent="0.25">
      <c r="A51" s="32" t="s">
        <v>41</v>
      </c>
      <c r="B51">
        <f>IFERROR(COUNTIF('Cleaned Data '!G$2:G$301,Analysis!A51),0)</f>
        <v>57</v>
      </c>
      <c r="C51" s="26">
        <f>IFERROR(AVERAGEIF('Cleaned Data '!G$2:G$301,Analysis!A51,'Cleaned Data '!L$2:L$301),0)</f>
        <v>3.8947368421052633</v>
      </c>
      <c r="D51" s="25">
        <f>IFERROR(COUNTIFS('Cleaned Data '!G$2:G$301,Analysis!A51,'Cleaned Data '!K4:K303,"Yes"),0)/B51</f>
        <v>0.7192982456140351</v>
      </c>
      <c r="E51">
        <f>IFERROR(AVERAGEIF('Cleaned Data '!G$2:G$301,Analysis!A51,'Cleaned Data '!J$2:J$301),0)</f>
        <v>3.6052631578947372</v>
      </c>
      <c r="F51" s="26">
        <f>IFERROR(AVERAGEIF('Cleaned Data '!G$2:G$301,Analysis!A51,'Cleaned Data '!I$2:I$301),0)</f>
        <v>7.7668113582926406</v>
      </c>
    </row>
  </sheetData>
  <mergeCells count="4">
    <mergeCell ref="A34:H34"/>
    <mergeCell ref="A1:E1"/>
    <mergeCell ref="A19:G19"/>
    <mergeCell ref="A47:F4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showGridLines="0" tabSelected="1" zoomScale="70" zoomScaleNormal="70" workbookViewId="0">
      <selection activeCell="F16" sqref="F16"/>
    </sheetView>
  </sheetViews>
  <sheetFormatPr defaultRowHeight="15" x14ac:dyDescent="0.25"/>
  <cols>
    <col min="1" max="2" width="21.7109375" customWidth="1"/>
    <col min="3" max="3" width="11.5703125" customWidth="1"/>
    <col min="4" max="4" width="13" customWidth="1"/>
    <col min="5" max="5" width="12.140625" customWidth="1"/>
    <col min="6" max="6" width="14.85546875" customWidth="1"/>
    <col min="7" max="7" width="15" customWidth="1"/>
    <col min="8" max="8" width="8.7109375" customWidth="1"/>
    <col min="9" max="9" width="21.7109375" bestFit="1" customWidth="1"/>
    <col min="10" max="10" width="11.28515625" customWidth="1"/>
    <col min="11" max="11" width="8.28515625" customWidth="1"/>
    <col min="12" max="12" width="9.28515625" bestFit="1" customWidth="1"/>
    <col min="14" max="15" width="11.28515625" bestFit="1" customWidth="1"/>
  </cols>
  <sheetData>
    <row r="1" spans="1:15" x14ac:dyDescent="0.25">
      <c r="A1" s="38" t="s">
        <v>617</v>
      </c>
      <c r="B1" s="38" t="s">
        <v>616</v>
      </c>
      <c r="I1" s="38" t="s">
        <v>1</v>
      </c>
      <c r="J1" t="s">
        <v>619</v>
      </c>
    </row>
    <row r="2" spans="1:15" x14ac:dyDescent="0.25">
      <c r="A2" s="38" t="s">
        <v>614</v>
      </c>
      <c r="B2" t="s">
        <v>27</v>
      </c>
      <c r="C2" t="s">
        <v>66</v>
      </c>
      <c r="D2" t="s">
        <v>13</v>
      </c>
      <c r="E2" t="s">
        <v>45</v>
      </c>
      <c r="F2" t="s">
        <v>52</v>
      </c>
      <c r="G2" t="s">
        <v>615</v>
      </c>
      <c r="I2" s="38" t="s">
        <v>4</v>
      </c>
      <c r="J2" t="s">
        <v>619</v>
      </c>
    </row>
    <row r="3" spans="1:15" x14ac:dyDescent="0.25">
      <c r="A3" s="39" t="s">
        <v>90</v>
      </c>
      <c r="B3" s="42">
        <v>0.19230769230769232</v>
      </c>
      <c r="C3" s="42">
        <v>0.23076923076923078</v>
      </c>
      <c r="D3" s="42">
        <v>0.23076923076923078</v>
      </c>
      <c r="E3" s="42">
        <v>9.6153846153846159E-2</v>
      </c>
      <c r="F3" s="42">
        <v>0.25</v>
      </c>
      <c r="G3" s="42">
        <v>1</v>
      </c>
      <c r="I3" s="38" t="s">
        <v>3</v>
      </c>
      <c r="J3" t="s">
        <v>106</v>
      </c>
    </row>
    <row r="4" spans="1:15" x14ac:dyDescent="0.25">
      <c r="A4" s="39" t="s">
        <v>81</v>
      </c>
      <c r="B4" s="42">
        <v>0.29090909090909089</v>
      </c>
      <c r="C4" s="42">
        <v>0.14545454545454545</v>
      </c>
      <c r="D4" s="42">
        <v>0.2</v>
      </c>
      <c r="E4" s="42">
        <v>0.23636363636363636</v>
      </c>
      <c r="F4" s="42">
        <v>0.12727272727272726</v>
      </c>
      <c r="G4" s="42">
        <v>1</v>
      </c>
    </row>
    <row r="5" spans="1:15" x14ac:dyDescent="0.25">
      <c r="A5" s="39" t="s">
        <v>25</v>
      </c>
      <c r="B5" s="42">
        <v>0.28985507246376813</v>
      </c>
      <c r="C5" s="42">
        <v>0.18840579710144928</v>
      </c>
      <c r="D5" s="42">
        <v>0.18840579710144928</v>
      </c>
      <c r="E5" s="42">
        <v>0.17391304347826086</v>
      </c>
      <c r="F5" s="42">
        <v>0.15942028985507245</v>
      </c>
      <c r="G5" s="42">
        <v>1</v>
      </c>
      <c r="I5" s="38" t="s">
        <v>617</v>
      </c>
      <c r="J5" s="38" t="s">
        <v>616</v>
      </c>
    </row>
    <row r="6" spans="1:15" x14ac:dyDescent="0.25">
      <c r="A6" s="39" t="s">
        <v>51</v>
      </c>
      <c r="B6" s="42">
        <v>0.1206896551724138</v>
      </c>
      <c r="C6" s="42">
        <v>0.2413793103448276</v>
      </c>
      <c r="D6" s="42">
        <v>0.1206896551724138</v>
      </c>
      <c r="E6" s="42">
        <v>0.27586206896551724</v>
      </c>
      <c r="F6" s="42">
        <v>0.2413793103448276</v>
      </c>
      <c r="G6" s="42">
        <v>1</v>
      </c>
      <c r="I6" s="38" t="s">
        <v>614</v>
      </c>
      <c r="J6" t="s">
        <v>27</v>
      </c>
      <c r="K6" t="s">
        <v>66</v>
      </c>
      <c r="L6" t="s">
        <v>13</v>
      </c>
      <c r="M6" t="s">
        <v>45</v>
      </c>
      <c r="N6" t="s">
        <v>52</v>
      </c>
      <c r="O6" t="s">
        <v>615</v>
      </c>
    </row>
    <row r="7" spans="1:15" x14ac:dyDescent="0.25">
      <c r="A7" s="39" t="s">
        <v>59</v>
      </c>
      <c r="B7" s="42">
        <v>0.27272727272727271</v>
      </c>
      <c r="C7" s="42">
        <v>0.24242424242424243</v>
      </c>
      <c r="D7" s="42">
        <v>0.19696969696969696</v>
      </c>
      <c r="E7" s="42">
        <v>9.0909090909090912E-2</v>
      </c>
      <c r="F7" s="42">
        <v>0.19696969696969696</v>
      </c>
      <c r="G7" s="42">
        <v>1</v>
      </c>
      <c r="I7" s="39" t="s">
        <v>65</v>
      </c>
      <c r="J7" s="40"/>
      <c r="K7" s="40"/>
      <c r="L7" s="40"/>
      <c r="M7" s="40">
        <v>1</v>
      </c>
      <c r="N7" s="40"/>
      <c r="O7" s="40">
        <v>1</v>
      </c>
    </row>
    <row r="8" spans="1:15" x14ac:dyDescent="0.25">
      <c r="A8" s="39" t="s">
        <v>615</v>
      </c>
      <c r="B8" s="42">
        <v>0.23666666666666666</v>
      </c>
      <c r="C8" s="42">
        <v>0.21</v>
      </c>
      <c r="D8" s="42">
        <v>0.18666666666666668</v>
      </c>
      <c r="E8" s="42">
        <v>0.17333333333333334</v>
      </c>
      <c r="F8" s="42">
        <v>0.19333333333333333</v>
      </c>
      <c r="G8" s="42">
        <v>1</v>
      </c>
      <c r="I8" s="39" t="s">
        <v>23</v>
      </c>
      <c r="J8" s="40">
        <v>2</v>
      </c>
      <c r="K8" s="40"/>
      <c r="L8" s="40"/>
      <c r="M8" s="40">
        <v>1</v>
      </c>
      <c r="N8" s="40"/>
      <c r="O8" s="40">
        <v>3</v>
      </c>
    </row>
    <row r="9" spans="1:15" x14ac:dyDescent="0.25">
      <c r="I9" s="39" t="s">
        <v>80</v>
      </c>
      <c r="J9" s="40">
        <v>1</v>
      </c>
      <c r="K9" s="40">
        <v>2</v>
      </c>
      <c r="L9" s="40">
        <v>1</v>
      </c>
      <c r="M9" s="40">
        <v>1</v>
      </c>
      <c r="N9" s="40">
        <v>1</v>
      </c>
      <c r="O9" s="40">
        <v>6</v>
      </c>
    </row>
    <row r="10" spans="1:15" x14ac:dyDescent="0.25">
      <c r="A10" s="38" t="s">
        <v>1</v>
      </c>
      <c r="B10" t="s">
        <v>619</v>
      </c>
      <c r="I10" s="39" t="s">
        <v>95</v>
      </c>
      <c r="J10" s="40">
        <v>3</v>
      </c>
      <c r="K10" s="40">
        <v>1</v>
      </c>
      <c r="L10" s="40"/>
      <c r="M10" s="40"/>
      <c r="N10" s="40">
        <v>5</v>
      </c>
      <c r="O10" s="40">
        <v>9</v>
      </c>
    </row>
    <row r="11" spans="1:15" x14ac:dyDescent="0.25">
      <c r="I11" s="39" t="s">
        <v>44</v>
      </c>
      <c r="J11" s="40">
        <v>2</v>
      </c>
      <c r="K11" s="40"/>
      <c r="L11" s="40">
        <v>2</v>
      </c>
      <c r="M11" s="40">
        <v>1</v>
      </c>
      <c r="N11" s="40"/>
      <c r="O11" s="40">
        <v>5</v>
      </c>
    </row>
    <row r="12" spans="1:15" x14ac:dyDescent="0.25">
      <c r="A12" s="38" t="s">
        <v>614</v>
      </c>
      <c r="B12" t="s">
        <v>620</v>
      </c>
      <c r="C12" t="s">
        <v>618</v>
      </c>
      <c r="I12" s="39" t="s">
        <v>58</v>
      </c>
      <c r="J12" s="40"/>
      <c r="K12" s="40">
        <v>1</v>
      </c>
      <c r="L12" s="40">
        <v>1</v>
      </c>
      <c r="M12" s="40"/>
      <c r="N12" s="40"/>
      <c r="O12" s="40">
        <v>2</v>
      </c>
    </row>
    <row r="13" spans="1:15" x14ac:dyDescent="0.25">
      <c r="A13" s="39" t="s">
        <v>106</v>
      </c>
      <c r="B13" s="41">
        <v>8.1770816812053955</v>
      </c>
      <c r="C13" s="41">
        <v>3.6538461538461537</v>
      </c>
      <c r="I13" s="39" t="s">
        <v>615</v>
      </c>
      <c r="J13" s="40">
        <v>8</v>
      </c>
      <c r="K13" s="40">
        <v>4</v>
      </c>
      <c r="L13" s="40">
        <v>4</v>
      </c>
      <c r="M13" s="40">
        <v>4</v>
      </c>
      <c r="N13" s="40">
        <v>6</v>
      </c>
      <c r="O13" s="40">
        <v>26</v>
      </c>
    </row>
    <row r="14" spans="1:15" x14ac:dyDescent="0.25">
      <c r="A14" s="39" t="s">
        <v>122</v>
      </c>
      <c r="B14" s="41">
        <v>7.2811925327389249</v>
      </c>
      <c r="C14" s="41">
        <v>3.5945945945945947</v>
      </c>
    </row>
    <row r="15" spans="1:15" x14ac:dyDescent="0.25">
      <c r="A15" s="39" t="s">
        <v>71</v>
      </c>
      <c r="B15" s="41">
        <v>7.7060606060606043</v>
      </c>
      <c r="C15" s="41">
        <v>4.0303030303030303</v>
      </c>
    </row>
    <row r="16" spans="1:15" x14ac:dyDescent="0.25">
      <c r="A16" s="39" t="s">
        <v>32</v>
      </c>
      <c r="B16" s="41">
        <v>7.7727272727272725</v>
      </c>
      <c r="C16" s="41">
        <v>3.8484848484848486</v>
      </c>
    </row>
    <row r="17" spans="1:10" x14ac:dyDescent="0.25">
      <c r="A17" s="39" t="s">
        <v>79</v>
      </c>
      <c r="B17" s="41">
        <v>7.6965758468335794</v>
      </c>
      <c r="C17" s="41">
        <v>4.0357142857142856</v>
      </c>
    </row>
    <row r="18" spans="1:10" x14ac:dyDescent="0.25">
      <c r="A18" s="39" t="s">
        <v>50</v>
      </c>
      <c r="B18" s="41">
        <v>6.8785714285714272</v>
      </c>
      <c r="C18" s="41">
        <v>3.9285714285714284</v>
      </c>
    </row>
    <row r="19" spans="1:10" x14ac:dyDescent="0.25">
      <c r="A19" s="39" t="s">
        <v>40</v>
      </c>
      <c r="B19" s="41">
        <v>7.0465758468335791</v>
      </c>
      <c r="C19" s="41">
        <v>3.9642857142857144</v>
      </c>
    </row>
    <row r="20" spans="1:10" x14ac:dyDescent="0.25">
      <c r="A20" s="39" t="s">
        <v>64</v>
      </c>
      <c r="B20" s="41">
        <v>8.107584683357878</v>
      </c>
      <c r="C20" s="41">
        <v>4.2857142857142856</v>
      </c>
    </row>
    <row r="21" spans="1:10" x14ac:dyDescent="0.25">
      <c r="A21" s="39" t="s">
        <v>86</v>
      </c>
      <c r="B21" s="41">
        <v>7.2107142857142881</v>
      </c>
      <c r="C21" s="41">
        <v>3.8214285714285716</v>
      </c>
    </row>
    <row r="22" spans="1:10" x14ac:dyDescent="0.25">
      <c r="A22" s="39" t="s">
        <v>57</v>
      </c>
      <c r="B22" s="41">
        <v>8.1970402394413053</v>
      </c>
      <c r="C22" s="41">
        <v>3.838709677419355</v>
      </c>
    </row>
    <row r="23" spans="1:10" ht="21.75" customHeight="1" x14ac:dyDescent="0.25">
      <c r="A23" s="39" t="s">
        <v>615</v>
      </c>
      <c r="B23" s="41">
        <v>7.6041237113402058</v>
      </c>
      <c r="C23" s="41">
        <v>3.8933333333333335</v>
      </c>
    </row>
    <row r="24" spans="1:10" ht="12" customHeight="1" x14ac:dyDescent="0.25">
      <c r="A24" s="39"/>
      <c r="B24" s="41"/>
      <c r="C24" s="41"/>
    </row>
    <row r="25" spans="1:10" x14ac:dyDescent="0.25">
      <c r="A25" s="38" t="s">
        <v>15</v>
      </c>
      <c r="B25" t="s">
        <v>619</v>
      </c>
    </row>
    <row r="27" spans="1:10" x14ac:dyDescent="0.25">
      <c r="A27" s="38" t="s">
        <v>617</v>
      </c>
      <c r="B27" s="38" t="s">
        <v>616</v>
      </c>
    </row>
    <row r="28" spans="1:10" x14ac:dyDescent="0.25">
      <c r="A28" s="38" t="s">
        <v>614</v>
      </c>
      <c r="B28" t="s">
        <v>65</v>
      </c>
      <c r="C28" t="s">
        <v>23</v>
      </c>
      <c r="D28" t="s">
        <v>80</v>
      </c>
      <c r="E28" t="s">
        <v>95</v>
      </c>
      <c r="F28" t="s">
        <v>44</v>
      </c>
      <c r="G28" t="s">
        <v>35</v>
      </c>
      <c r="H28" t="s">
        <v>72</v>
      </c>
      <c r="I28" t="s">
        <v>58</v>
      </c>
      <c r="J28" t="s">
        <v>615</v>
      </c>
    </row>
    <row r="29" spans="1:10" x14ac:dyDescent="0.25">
      <c r="A29" s="39" t="s">
        <v>41</v>
      </c>
      <c r="B29" s="40">
        <v>8</v>
      </c>
      <c r="C29" s="40">
        <v>7</v>
      </c>
      <c r="D29" s="40">
        <v>20</v>
      </c>
      <c r="E29" s="40">
        <v>10</v>
      </c>
      <c r="F29" s="40">
        <v>12</v>
      </c>
      <c r="G29" s="40">
        <v>6</v>
      </c>
      <c r="H29" s="40">
        <v>6</v>
      </c>
      <c r="I29" s="40">
        <v>18</v>
      </c>
      <c r="J29" s="40">
        <v>87</v>
      </c>
    </row>
    <row r="30" spans="1:10" x14ac:dyDescent="0.25">
      <c r="A30" s="39" t="s">
        <v>20</v>
      </c>
      <c r="B30" s="40">
        <v>14</v>
      </c>
      <c r="C30" s="40">
        <v>11</v>
      </c>
      <c r="D30" s="40">
        <v>16</v>
      </c>
      <c r="E30" s="40">
        <v>21</v>
      </c>
      <c r="F30" s="40">
        <v>21</v>
      </c>
      <c r="G30" s="40">
        <v>9</v>
      </c>
      <c r="H30" s="40">
        <v>11</v>
      </c>
      <c r="I30" s="40">
        <v>16</v>
      </c>
      <c r="J30" s="40">
        <v>119</v>
      </c>
    </row>
    <row r="31" spans="1:10" x14ac:dyDescent="0.25">
      <c r="A31" s="39" t="s">
        <v>33</v>
      </c>
      <c r="B31" s="40">
        <v>16</v>
      </c>
      <c r="C31" s="40">
        <v>17</v>
      </c>
      <c r="D31" s="40">
        <v>10</v>
      </c>
      <c r="E31" s="40">
        <v>9</v>
      </c>
      <c r="F31" s="40">
        <v>7</v>
      </c>
      <c r="G31" s="40">
        <v>13</v>
      </c>
      <c r="H31" s="40">
        <v>13</v>
      </c>
      <c r="I31" s="40">
        <v>9</v>
      </c>
      <c r="J31" s="40">
        <v>94</v>
      </c>
    </row>
    <row r="32" spans="1:10" x14ac:dyDescent="0.25">
      <c r="A32" s="39" t="s">
        <v>615</v>
      </c>
      <c r="B32" s="40">
        <v>38</v>
      </c>
      <c r="C32" s="40">
        <v>35</v>
      </c>
      <c r="D32" s="40">
        <v>46</v>
      </c>
      <c r="E32" s="40">
        <v>40</v>
      </c>
      <c r="F32" s="40">
        <v>40</v>
      </c>
      <c r="G32" s="40">
        <v>28</v>
      </c>
      <c r="H32" s="40">
        <v>30</v>
      </c>
      <c r="I32" s="40">
        <v>43</v>
      </c>
      <c r="J32" s="4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 </vt:lpstr>
      <vt:lpstr>Analysis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2026-04-26T05:15:32Z</dcterms:created>
  <dcterms:modified xsi:type="dcterms:W3CDTF">2026-05-05T14:08:44Z</dcterms:modified>
</cp:coreProperties>
</file>